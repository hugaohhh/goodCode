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"/>
    </mc:Choice>
  </mc:AlternateContent>
  <xr:revisionPtr revIDLastSave="0" documentId="13_ncr:1_{B9272822-3E64-45CE-AAA8-48C91AF9E4CF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現場提出用" sheetId="3" r:id="rId1"/>
    <sheet name="自社提出用" sheetId="1" r:id="rId2"/>
    <sheet name="更新履歴" sheetId="4" r:id="rId3"/>
  </sheets>
  <definedNames>
    <definedName name="_xlnm.Print_Area" localSheetId="0">現場提出用!$B$1:$W$48</definedName>
    <definedName name="_xlnm.Print_Area" localSheetId="2">更新履歴!$A$1:$G$76</definedName>
    <definedName name="_xlnm.Print_Area" localSheetId="1">自社提出用!$B$1:$W$48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7" i="3" l="1"/>
  <c r="M25" i="3" l="1"/>
  <c r="M33" i="3"/>
  <c r="M34" i="3" l="1"/>
  <c r="M24" i="3" l="1"/>
  <c r="M14" i="3" l="1"/>
  <c r="M30" i="3" l="1"/>
  <c r="M35" i="3" l="1"/>
  <c r="M32" i="3"/>
  <c r="U47" i="3" l="1"/>
  <c r="U47" i="1"/>
  <c r="U46" i="1"/>
  <c r="U45" i="1"/>
  <c r="U44" i="1"/>
  <c r="U43" i="1"/>
  <c r="U42" i="1"/>
  <c r="U41" i="1"/>
  <c r="U40" i="1"/>
  <c r="U44" i="3"/>
  <c r="U43" i="3"/>
  <c r="U41" i="3"/>
  <c r="M8" i="3" l="1"/>
  <c r="M39" i="1"/>
  <c r="M17" i="3"/>
  <c r="M20" i="3"/>
  <c r="M21" i="3"/>
  <c r="M38" i="3"/>
  <c r="M36" i="3"/>
  <c r="M31" i="3"/>
  <c r="M29" i="3"/>
  <c r="M26" i="3"/>
  <c r="M23" i="3"/>
  <c r="M19" i="3"/>
  <c r="M18" i="3"/>
  <c r="M16" i="3"/>
  <c r="M15" i="3"/>
  <c r="M12" i="3"/>
  <c r="M11" i="3"/>
  <c r="N39" i="3"/>
  <c r="U39" i="3" s="1"/>
  <c r="M28" i="3"/>
  <c r="M13" i="3"/>
  <c r="M9" i="3"/>
  <c r="M10" i="3"/>
  <c r="R39" i="1"/>
  <c r="R44" i="1"/>
  <c r="Q39" i="1"/>
  <c r="Q44" i="1"/>
  <c r="O39" i="1"/>
  <c r="O44" i="1"/>
  <c r="U46" i="3"/>
  <c r="U45" i="3"/>
  <c r="U42" i="3"/>
  <c r="U40" i="3"/>
  <c r="B8" i="3"/>
  <c r="C8" i="3" s="1"/>
  <c r="B8" i="1"/>
  <c r="C8" i="1" s="1"/>
  <c r="N39" i="1"/>
  <c r="U39" i="1" s="1"/>
  <c r="P44" i="1"/>
  <c r="M44" i="1"/>
  <c r="N44" i="1"/>
  <c r="B9" i="1" l="1"/>
  <c r="B10" i="1" s="1"/>
  <c r="C10" i="1" s="1"/>
  <c r="M39" i="3"/>
  <c r="B9" i="3"/>
  <c r="B11" i="1" l="1"/>
  <c r="C11" i="1" s="1"/>
  <c r="C9" i="1"/>
  <c r="B10" i="3"/>
  <c r="C9" i="3"/>
  <c r="B12" i="1" l="1"/>
  <c r="C12" i="1" s="1"/>
  <c r="B11" i="3"/>
  <c r="C10" i="3"/>
  <c r="B13" i="1" l="1"/>
  <c r="B14" i="1" s="1"/>
  <c r="B15" i="1" s="1"/>
  <c r="B12" i="3"/>
  <c r="C11" i="3"/>
  <c r="C13" i="1" l="1"/>
  <c r="C14" i="1"/>
  <c r="C15" i="1"/>
  <c r="B16" i="1"/>
  <c r="C12" i="3"/>
  <c r="B13" i="3"/>
  <c r="C16" i="1" l="1"/>
  <c r="B17" i="1"/>
  <c r="C13" i="3"/>
  <c r="B14" i="3"/>
  <c r="C17" i="1" l="1"/>
  <c r="B18" i="1"/>
  <c r="B15" i="3"/>
  <c r="C14" i="3"/>
  <c r="B19" i="1" l="1"/>
  <c r="C18" i="1"/>
  <c r="C15" i="3"/>
  <c r="B16" i="3"/>
  <c r="B20" i="1" l="1"/>
  <c r="C19" i="1"/>
  <c r="B17" i="3"/>
  <c r="C16" i="3"/>
  <c r="C20" i="1" l="1"/>
  <c r="B21" i="1"/>
  <c r="B18" i="3"/>
  <c r="C17" i="3"/>
  <c r="C21" i="1" l="1"/>
  <c r="B22" i="1"/>
  <c r="C18" i="3"/>
  <c r="B19" i="3"/>
  <c r="B23" i="1" l="1"/>
  <c r="C22" i="1"/>
  <c r="C19" i="3"/>
  <c r="B20" i="3"/>
  <c r="C23" i="1" l="1"/>
  <c r="B24" i="1"/>
  <c r="B21" i="3"/>
  <c r="C20" i="3"/>
  <c r="C24" i="1" l="1"/>
  <c r="B25" i="1"/>
  <c r="C21" i="3"/>
  <c r="B22" i="3"/>
  <c r="C25" i="1" l="1"/>
  <c r="B26" i="1"/>
  <c r="C22" i="3"/>
  <c r="B23" i="3"/>
  <c r="C26" i="1" l="1"/>
  <c r="B27" i="1"/>
  <c r="C23" i="3"/>
  <c r="B24" i="3"/>
  <c r="B28" i="1" l="1"/>
  <c r="C27" i="1"/>
  <c r="B25" i="3"/>
  <c r="C24" i="3"/>
  <c r="B29" i="1" l="1"/>
  <c r="C28" i="1"/>
  <c r="B26" i="3"/>
  <c r="C25" i="3"/>
  <c r="C29" i="1" l="1"/>
  <c r="B30" i="1"/>
  <c r="C26" i="3"/>
  <c r="B27" i="3"/>
  <c r="B31" i="1" l="1"/>
  <c r="C30" i="1"/>
  <c r="B28" i="3"/>
  <c r="C27" i="3"/>
  <c r="B32" i="1" l="1"/>
  <c r="C31" i="1"/>
  <c r="B29" i="3"/>
  <c r="C28" i="3"/>
  <c r="C32" i="1" l="1"/>
  <c r="B33" i="1"/>
  <c r="C29" i="3"/>
  <c r="B30" i="3"/>
  <c r="B34" i="1" l="1"/>
  <c r="C33" i="1"/>
  <c r="C30" i="3"/>
  <c r="B31" i="3"/>
  <c r="C34" i="1" l="1"/>
  <c r="B35" i="1"/>
  <c r="B32" i="3"/>
  <c r="C31" i="3"/>
  <c r="C35" i="1" l="1"/>
  <c r="B36" i="1"/>
  <c r="C36" i="1" s="1"/>
  <c r="B33" i="3"/>
  <c r="C32" i="3"/>
  <c r="B37" i="1" l="1"/>
  <c r="B34" i="3"/>
  <c r="C33" i="3"/>
  <c r="C37" i="1" l="1"/>
  <c r="B38" i="1"/>
  <c r="C38" i="1" s="1"/>
  <c r="B35" i="3"/>
  <c r="C34" i="3"/>
  <c r="B36" i="3" l="1"/>
  <c r="C35" i="3"/>
  <c r="C36" i="3" l="1"/>
  <c r="B37" i="3"/>
  <c r="B38" i="3" l="1"/>
  <c r="C38" i="3" s="1"/>
  <c r="C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hori</author>
    <author>aska</author>
    <author>somu</author>
    <author>IT</author>
    <author>hishiyama</author>
  </authors>
  <commentList>
    <comment ref="R2" authorId="0" shapeId="0" xr:uid="{00000000-0006-0000-00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始業時間、終業時間は必ず入力してください。
区分が空白である場合、この時間で自動計算を行います。
</t>
        </r>
      </text>
    </comment>
    <comment ref="T2" authorId="1" shapeId="0" xr:uid="{00000000-0006-0000-0000-000002000000}">
      <text>
        <r>
          <rPr>
            <sz val="9"/>
            <color indexed="81"/>
            <rFont val="ＭＳ Ｐゴシック"/>
            <family val="3"/>
            <charset val="128"/>
          </rPr>
          <t>始業時間、終業時間は必ず入力してください。
区分が"1"である場合、この時間で自動計算を行います。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U2" authorId="1" shapeId="0" xr:uid="{00000000-0006-0000-0000-000003000000}">
      <text>
        <r>
          <rPr>
            <sz val="9"/>
            <color indexed="81"/>
            <rFont val="ＭＳ Ｐゴシック"/>
            <family val="3"/>
            <charset val="128"/>
          </rPr>
          <t>始業時間、終業時間は必ず入力してください。
区分が"2"である場合、この時間で自動計算を行います。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V2" authorId="1" shapeId="0" xr:uid="{00000000-0006-0000-0000-000004000000}">
      <text>
        <r>
          <rPr>
            <sz val="9"/>
            <color indexed="81"/>
            <rFont val="ＭＳ Ｐゴシック"/>
            <family val="3"/>
            <charset val="128"/>
          </rPr>
          <t xml:space="preserve">始業時間、終業時間は必ず入力してください。
区分が"3"である場合、この時間で自動計算を行います。
</t>
        </r>
      </text>
    </comment>
    <comment ref="B4" authorId="2" shapeId="0" xr:uid="{00000000-0006-0000-0000-000005000000}">
      <text>
        <r>
          <rPr>
            <sz val="9"/>
            <color indexed="81"/>
            <rFont val="ＭＳ Ｐゴシック"/>
            <family val="3"/>
            <charset val="128"/>
          </rPr>
          <t>18年4月の場合
　　</t>
        </r>
        <r>
          <rPr>
            <sz val="9"/>
            <color indexed="10"/>
            <rFont val="ＭＳ Ｐゴシック"/>
            <family val="3"/>
            <charset val="128"/>
          </rPr>
          <t>4/1</t>
        </r>
        <r>
          <rPr>
            <sz val="9"/>
            <color indexed="81"/>
            <rFont val="ＭＳ Ｐゴシック"/>
            <family val="3"/>
            <charset val="128"/>
          </rPr>
          <t>と入力します。
18年5月の場合
　　</t>
        </r>
        <r>
          <rPr>
            <sz val="9"/>
            <color indexed="10"/>
            <rFont val="ＭＳ Ｐゴシック"/>
            <family val="3"/>
            <charset val="128"/>
          </rPr>
          <t>5/1</t>
        </r>
        <r>
          <rPr>
            <sz val="9"/>
            <color indexed="81"/>
            <rFont val="ＭＳ Ｐゴシック"/>
            <family val="3"/>
            <charset val="128"/>
          </rPr>
          <t>と入力します。</t>
        </r>
      </text>
    </comment>
    <comment ref="D6" authorId="1" shapeId="0" xr:uid="{00000000-0006-0000-0000-000006000000}">
      <text>
        <r>
          <rPr>
            <sz val="9"/>
            <color indexed="81"/>
            <rFont val="ＭＳ Ｐゴシック"/>
            <family val="3"/>
            <charset val="128"/>
          </rPr>
          <t>シフト勤務の場合は</t>
        </r>
        <r>
          <rPr>
            <sz val="9"/>
            <color indexed="10"/>
            <rFont val="ＭＳ Ｐゴシック"/>
            <family val="3"/>
            <charset val="128"/>
          </rPr>
          <t>シフト</t>
        </r>
        <r>
          <rPr>
            <sz val="9"/>
            <color indexed="81"/>
            <rFont val="ＭＳ Ｐゴシック"/>
            <family val="3"/>
            <charset val="128"/>
          </rPr>
          <t>と入力してください。
徹夜明けの場合は</t>
        </r>
        <r>
          <rPr>
            <sz val="9"/>
            <color indexed="10"/>
            <rFont val="ＭＳ Ｐゴシック"/>
            <family val="3"/>
            <charset val="128"/>
          </rPr>
          <t>明け</t>
        </r>
        <r>
          <rPr>
            <sz val="9"/>
            <color indexed="81"/>
            <rFont val="ＭＳ Ｐゴシック"/>
            <family val="3"/>
            <charset val="128"/>
          </rPr>
          <t>と入力してください。
交通機関の遅延による遅刻の場合は</t>
        </r>
        <r>
          <rPr>
            <sz val="9"/>
            <color indexed="10"/>
            <rFont val="ＭＳ Ｐゴシック"/>
            <family val="3"/>
            <charset val="128"/>
          </rPr>
          <t>電遅</t>
        </r>
        <r>
          <rPr>
            <sz val="9"/>
            <color indexed="81"/>
            <rFont val="ＭＳ Ｐゴシック"/>
            <family val="3"/>
            <charset val="128"/>
          </rPr>
          <t>と入力してください。</t>
        </r>
      </text>
    </comment>
    <comment ref="E6" authorId="1" shapeId="0" xr:uid="{00000000-0006-0000-0000-000007000000}">
      <text>
        <r>
          <rPr>
            <sz val="9"/>
            <color indexed="81"/>
            <rFont val="ＭＳ Ｐゴシック"/>
            <family val="3"/>
            <charset val="128"/>
          </rPr>
          <t>区分=空白は"始業～終業"
区分=1は"始業～終業1"
区分=2は"始業～終業2"
区分=3は"始業～終業3"
に入力された時間帯を始業・終業時間として、自動計算します。</t>
        </r>
      </text>
    </comment>
    <comment ref="F6" authorId="1" shapeId="0" xr:uid="{00000000-0006-0000-0000-000008000000}">
      <text>
        <r>
          <rPr>
            <sz val="9"/>
            <color indexed="10"/>
            <rFont val="ＭＳ Ｐゴシック"/>
            <family val="3"/>
            <charset val="128"/>
          </rPr>
          <t>業務時間(始業～終業)内</t>
        </r>
        <r>
          <rPr>
            <sz val="9"/>
            <color indexed="81"/>
            <rFont val="ＭＳ Ｐゴシック"/>
            <family val="3"/>
            <charset val="128"/>
          </rPr>
          <t>に外出した時間を入力します。
※実働時間のみ控除されます。</t>
        </r>
      </text>
    </comment>
    <comment ref="G6" authorId="3" shapeId="0" xr:uid="{00000000-0006-0000-0000-000009000000}">
      <text>
        <r>
          <rPr>
            <sz val="9"/>
            <color indexed="81"/>
            <rFont val="ＭＳ Ｐゴシック"/>
            <family val="3"/>
            <charset val="128"/>
          </rPr>
          <t>控除2区分欄の合計値が自動的に入ります。
直接入力値は反映されません。</t>
        </r>
      </text>
    </comment>
    <comment ref="H6" authorId="4" shapeId="0" xr:uid="{00000000-0006-0000-0000-00000A000000}">
      <text>
        <r>
          <rPr>
            <sz val="9"/>
            <color indexed="81"/>
            <rFont val="MS P ゴシック"/>
            <family val="3"/>
            <charset val="128"/>
          </rPr>
          <t xml:space="preserve">深夜帯については、24時間表記をお願いします。
以下、記載例）
翌日午前3時　→　27時
翌日午前5時　→　29時
翌日午前10時　→　34時
</t>
        </r>
      </text>
    </comment>
    <comment ref="N6" authorId="2" shapeId="0" xr:uid="{00000000-0006-0000-0000-00000B000000}">
      <text>
        <r>
          <rPr>
            <sz val="9"/>
            <color indexed="81"/>
            <rFont val="ＭＳ Ｐゴシック"/>
            <family val="3"/>
            <charset val="128"/>
          </rPr>
          <t>遅刻・早退・外出したら、自動的にこの欄に時間が入ります。</t>
        </r>
      </text>
    </comment>
    <comment ref="O6" authorId="2" shapeId="0" xr:uid="{00000000-0006-0000-0000-00000C000000}">
      <text>
        <r>
          <rPr>
            <sz val="9"/>
            <color indexed="81"/>
            <rFont val="ＭＳ Ｐゴシック"/>
            <family val="3"/>
            <charset val="128"/>
          </rPr>
          <t>自動計算です。</t>
        </r>
      </text>
    </comment>
    <comment ref="Y6" authorId="3" shapeId="0" xr:uid="{00000000-0006-0000-0000-00000D000000}">
      <text>
        <r>
          <rPr>
            <sz val="9"/>
            <color indexed="81"/>
            <rFont val="ＭＳ Ｐゴシック"/>
            <family val="3"/>
            <charset val="128"/>
          </rPr>
          <t>残業前休憩の開始時刻が自動的に表示されます。
この時刻より1Hは休憩として扱われ、実働時間には加算されません。
深夜シフトの場合、仮眠休憩が重複しないよう注意してください。</t>
        </r>
      </text>
    </comment>
    <comment ref="Z7" authorId="3" shapeId="0" xr:uid="{00000000-0006-0000-0000-00000E000000}">
      <text>
        <r>
          <rPr>
            <sz val="9"/>
            <color indexed="10"/>
            <rFont val="ＭＳ Ｐゴシック"/>
            <family val="3"/>
            <charset val="128"/>
          </rPr>
          <t>深夜時間帯(23:00-5:00)</t>
        </r>
        <r>
          <rPr>
            <sz val="9"/>
            <color indexed="81"/>
            <rFont val="ＭＳ Ｐゴシック"/>
            <family val="3"/>
            <charset val="128"/>
          </rPr>
          <t>に仮眠休憩を取った場合、時間数を記載します。</t>
        </r>
      </text>
    </comment>
    <comment ref="AA7" authorId="3" shapeId="0" xr:uid="{00000000-0006-0000-0000-00000F000000}">
      <text>
        <r>
          <rPr>
            <sz val="9"/>
            <color indexed="10"/>
            <rFont val="ＭＳ Ｐゴシック"/>
            <family val="3"/>
            <charset val="128"/>
          </rPr>
          <t>深夜明けの時間帯(5:00-8:00)</t>
        </r>
        <r>
          <rPr>
            <sz val="9"/>
            <color indexed="81"/>
            <rFont val="ＭＳ Ｐゴシック"/>
            <family val="3"/>
            <charset val="128"/>
          </rPr>
          <t>に仮眠休憩を取った場合、時間数を記載します。</t>
        </r>
      </text>
    </comment>
    <comment ref="M41" authorId="2" shapeId="0" xr:uid="{00000000-0006-0000-0000-000010000000}">
      <text>
        <r>
          <rPr>
            <sz val="9"/>
            <color indexed="81"/>
            <rFont val="ＭＳ Ｐゴシック"/>
            <family val="3"/>
            <charset val="128"/>
          </rPr>
          <t>ここに時間を入力すると
自動計算されます。</t>
        </r>
      </text>
    </comment>
    <comment ref="O41" authorId="2" shapeId="0" xr:uid="{00000000-0006-0000-0000-000011000000}">
      <text>
        <r>
          <rPr>
            <sz val="9"/>
            <color indexed="81"/>
            <rFont val="ＭＳ Ｐゴシック"/>
            <family val="3"/>
            <charset val="128"/>
          </rPr>
          <t>手入力です。</t>
        </r>
      </text>
    </comment>
    <comment ref="Q41" authorId="2" shapeId="0" xr:uid="{00000000-0006-0000-0000-000012000000}">
      <text>
        <r>
          <rPr>
            <sz val="9"/>
            <color indexed="81"/>
            <rFont val="ＭＳ Ｐゴシック"/>
            <family val="3"/>
            <charset val="128"/>
          </rPr>
          <t>手入力です。</t>
        </r>
      </text>
    </comment>
    <comment ref="R41" authorId="2" shapeId="0" xr:uid="{00000000-0006-0000-0000-000013000000}">
      <text>
        <r>
          <rPr>
            <sz val="9"/>
            <color indexed="81"/>
            <rFont val="ＭＳ Ｐゴシック"/>
            <family val="3"/>
            <charset val="128"/>
          </rPr>
          <t>手入力です。</t>
        </r>
      </text>
    </comment>
    <comment ref="B48" authorId="2" shapeId="0" xr:uid="{00000000-0006-0000-0000-000014000000}">
      <text>
        <r>
          <rPr>
            <sz val="9"/>
            <color indexed="17"/>
            <rFont val="ＭＳ Ｐゴシック"/>
            <family val="3"/>
            <charset val="128"/>
          </rPr>
          <t xml:space="preserve"> 最後にもう一度見直してから
 リーダーに確認を依頼しましょう。
 今月もお仕事お疲れ様でした。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hori</author>
    <author>aska</author>
    <author>somu</author>
    <author>IT</author>
    <author>hishiyama</author>
  </authors>
  <commentList>
    <comment ref="R2" authorId="0" shapeId="0" xr:uid="{00000000-0006-0000-01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始業時間、終業時間は必ず入力してください。
区分が空白である場合、この時間で自動計算を行います。
</t>
        </r>
      </text>
    </comment>
    <comment ref="T2" authorId="1" shapeId="0" xr:uid="{00000000-0006-0000-0100-000002000000}">
      <text>
        <r>
          <rPr>
            <sz val="9"/>
            <color indexed="81"/>
            <rFont val="ＭＳ Ｐゴシック"/>
            <family val="3"/>
            <charset val="128"/>
          </rPr>
          <t>始業時間、終業時間は必ず入力してください。
区分が"1"である場合、この時間で自動計算を行います。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U2" authorId="1" shapeId="0" xr:uid="{00000000-0006-0000-0100-000003000000}">
      <text>
        <r>
          <rPr>
            <sz val="9"/>
            <color indexed="81"/>
            <rFont val="ＭＳ Ｐゴシック"/>
            <family val="3"/>
            <charset val="128"/>
          </rPr>
          <t>始業時間、終業時間は必ず入力してください。
区分が"2"である場合、この時間で自動計算を行います。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V2" authorId="1" shapeId="0" xr:uid="{00000000-0006-0000-0100-000004000000}">
      <text>
        <r>
          <rPr>
            <sz val="9"/>
            <color indexed="81"/>
            <rFont val="ＭＳ Ｐゴシック"/>
            <family val="3"/>
            <charset val="128"/>
          </rPr>
          <t xml:space="preserve">始業時間、終業時間は必ず入力してください。
区分が"3"である場合、この時間で自動計算を行います。
</t>
        </r>
      </text>
    </comment>
    <comment ref="B4" authorId="2" shapeId="0" xr:uid="{6AA9D7B7-1405-415F-BABA-4C6E5DBA275C}">
      <text>
        <r>
          <rPr>
            <sz val="9"/>
            <color indexed="81"/>
            <rFont val="ＭＳ Ｐゴシック"/>
            <family val="3"/>
            <charset val="128"/>
          </rPr>
          <t>18年4月の場合
　　</t>
        </r>
        <r>
          <rPr>
            <sz val="9"/>
            <color indexed="10"/>
            <rFont val="ＭＳ Ｐゴシック"/>
            <family val="3"/>
            <charset val="128"/>
          </rPr>
          <t>4/1</t>
        </r>
        <r>
          <rPr>
            <sz val="9"/>
            <color indexed="81"/>
            <rFont val="ＭＳ Ｐゴシック"/>
            <family val="3"/>
            <charset val="128"/>
          </rPr>
          <t>と入力します。
18年5月の場合
　　</t>
        </r>
        <r>
          <rPr>
            <sz val="9"/>
            <color indexed="10"/>
            <rFont val="ＭＳ Ｐゴシック"/>
            <family val="3"/>
            <charset val="128"/>
          </rPr>
          <t>5/1</t>
        </r>
        <r>
          <rPr>
            <sz val="9"/>
            <color indexed="81"/>
            <rFont val="ＭＳ Ｐゴシック"/>
            <family val="3"/>
            <charset val="128"/>
          </rPr>
          <t>と入力します。</t>
        </r>
      </text>
    </comment>
    <comment ref="D6" authorId="1" shapeId="0" xr:uid="{00000000-0006-0000-0100-000006000000}">
      <text>
        <r>
          <rPr>
            <sz val="9"/>
            <color indexed="81"/>
            <rFont val="ＭＳ Ｐゴシック"/>
            <family val="3"/>
            <charset val="128"/>
          </rPr>
          <t>シフト勤務の場合は</t>
        </r>
        <r>
          <rPr>
            <sz val="9"/>
            <color indexed="10"/>
            <rFont val="ＭＳ Ｐゴシック"/>
            <family val="3"/>
            <charset val="128"/>
          </rPr>
          <t>シフト</t>
        </r>
        <r>
          <rPr>
            <sz val="9"/>
            <color indexed="81"/>
            <rFont val="ＭＳ Ｐゴシック"/>
            <family val="3"/>
            <charset val="128"/>
          </rPr>
          <t>と入力してください。
徹夜明けの場合は</t>
        </r>
        <r>
          <rPr>
            <sz val="9"/>
            <color indexed="10"/>
            <rFont val="ＭＳ Ｐゴシック"/>
            <family val="3"/>
            <charset val="128"/>
          </rPr>
          <t>明け</t>
        </r>
        <r>
          <rPr>
            <sz val="9"/>
            <color indexed="81"/>
            <rFont val="ＭＳ Ｐゴシック"/>
            <family val="3"/>
            <charset val="128"/>
          </rPr>
          <t>と入力してください。
交通機関の遅延による遅刻の場合は</t>
        </r>
        <r>
          <rPr>
            <sz val="9"/>
            <color indexed="10"/>
            <rFont val="ＭＳ Ｐゴシック"/>
            <family val="3"/>
            <charset val="128"/>
          </rPr>
          <t>電遅</t>
        </r>
        <r>
          <rPr>
            <sz val="9"/>
            <color indexed="81"/>
            <rFont val="ＭＳ Ｐゴシック"/>
            <family val="3"/>
            <charset val="128"/>
          </rPr>
          <t>と入力してください。</t>
        </r>
      </text>
    </comment>
    <comment ref="E6" authorId="1" shapeId="0" xr:uid="{00000000-0006-0000-0100-000007000000}">
      <text>
        <r>
          <rPr>
            <sz val="9"/>
            <color indexed="81"/>
            <rFont val="ＭＳ Ｐゴシック"/>
            <family val="3"/>
            <charset val="128"/>
          </rPr>
          <t>区分=空白は"始業～終業"
区分=1は"始業～終業1"
区分=2は"始業～終業2"
区分=3は"始業～終業3"
に入力された時間帯を始業・終業時間として、自動計算します。</t>
        </r>
      </text>
    </comment>
    <comment ref="F6" authorId="1" shapeId="0" xr:uid="{00000000-0006-0000-0100-000008000000}">
      <text>
        <r>
          <rPr>
            <sz val="9"/>
            <color indexed="10"/>
            <rFont val="ＭＳ Ｐゴシック"/>
            <family val="3"/>
            <charset val="128"/>
          </rPr>
          <t>業務時間(始業～終業)内</t>
        </r>
        <r>
          <rPr>
            <sz val="9"/>
            <color indexed="81"/>
            <rFont val="ＭＳ Ｐゴシック"/>
            <family val="3"/>
            <charset val="128"/>
          </rPr>
          <t>に外出した時間を入力します。
※実働時間のみ控除されます。</t>
        </r>
      </text>
    </comment>
    <comment ref="G6" authorId="3" shapeId="0" xr:uid="{00000000-0006-0000-0100-000009000000}">
      <text>
        <r>
          <rPr>
            <sz val="9"/>
            <color indexed="81"/>
            <rFont val="ＭＳ Ｐゴシック"/>
            <family val="3"/>
            <charset val="128"/>
          </rPr>
          <t>控除2区分欄の合計値が自動的に入ります。
直接入力値は反映されません。</t>
        </r>
      </text>
    </comment>
    <comment ref="H6" authorId="4" shapeId="0" xr:uid="{00000000-0006-0000-0100-00000A000000}">
      <text>
        <r>
          <rPr>
            <sz val="9"/>
            <color indexed="81"/>
            <rFont val="MS P ゴシック"/>
            <family val="3"/>
            <charset val="128"/>
          </rPr>
          <t xml:space="preserve">深夜帯については、24時間表記をお願いします。
以下、記載例）
翌日午前3時　→　27時
翌日午前5時　→　29時
翌日午前10時　→　34時
</t>
        </r>
      </text>
    </comment>
    <comment ref="N6" authorId="2" shapeId="0" xr:uid="{00000000-0006-0000-0100-00000B000000}">
      <text>
        <r>
          <rPr>
            <sz val="9"/>
            <color indexed="81"/>
            <rFont val="ＭＳ Ｐゴシック"/>
            <family val="3"/>
            <charset val="128"/>
          </rPr>
          <t>遅刻・早退・外出したら、自動的にこの欄に時間が入ります。</t>
        </r>
      </text>
    </comment>
    <comment ref="O6" authorId="2" shapeId="0" xr:uid="{00000000-0006-0000-0100-00000C000000}">
      <text>
        <r>
          <rPr>
            <sz val="9"/>
            <color indexed="81"/>
            <rFont val="ＭＳ Ｐゴシック"/>
            <family val="3"/>
            <charset val="128"/>
          </rPr>
          <t>自動計算です。</t>
        </r>
      </text>
    </comment>
    <comment ref="Q6" authorId="2" shapeId="0" xr:uid="{00000000-0006-0000-0100-00000D000000}">
      <text>
        <r>
          <rPr>
            <sz val="9"/>
            <color indexed="10"/>
            <rFont val="ＭＳ Ｐゴシック"/>
            <family val="3"/>
            <charset val="128"/>
          </rPr>
          <t>22:00～5:00</t>
        </r>
        <r>
          <rPr>
            <sz val="9"/>
            <color indexed="81"/>
            <rFont val="ＭＳ Ｐゴシック"/>
            <family val="3"/>
            <charset val="128"/>
          </rPr>
          <t>までの勤務時間について、自動的にこの欄に時間が入ります。</t>
        </r>
      </text>
    </comment>
    <comment ref="R6" authorId="2" shapeId="0" xr:uid="{00000000-0006-0000-0100-00000E000000}">
      <text>
        <r>
          <rPr>
            <sz val="9"/>
            <color indexed="81"/>
            <rFont val="ＭＳ Ｐゴシック"/>
            <family val="3"/>
            <charset val="128"/>
          </rPr>
          <t>摘要欄に</t>
        </r>
        <r>
          <rPr>
            <sz val="9"/>
            <color indexed="10"/>
            <rFont val="ＭＳ Ｐゴシック"/>
            <family val="3"/>
            <charset val="128"/>
          </rPr>
          <t>休出</t>
        </r>
        <r>
          <rPr>
            <sz val="9"/>
            <color indexed="81"/>
            <rFont val="ＭＳ Ｐゴシック"/>
            <family val="3"/>
            <charset val="128"/>
          </rPr>
          <t>と入力すると、自動的にこの欄に時間が入ります。</t>
        </r>
      </text>
    </comment>
    <comment ref="Y6" authorId="3" shapeId="0" xr:uid="{00000000-0006-0000-0100-00000F000000}">
      <text>
        <r>
          <rPr>
            <sz val="9"/>
            <color indexed="81"/>
            <rFont val="ＭＳ Ｐゴシック"/>
            <family val="3"/>
            <charset val="128"/>
          </rPr>
          <t>残業前休憩の開始時刻が自動的に表示されます。
この時刻より1Hは休憩として扱われ、実働時間には加算されません。
深夜シフトの場合、仮眠休憩が重複しないよう注意してください。</t>
        </r>
      </text>
    </comment>
    <comment ref="Z7" authorId="3" shapeId="0" xr:uid="{00000000-0006-0000-0100-000010000000}">
      <text>
        <r>
          <rPr>
            <sz val="9"/>
            <color indexed="10"/>
            <rFont val="ＭＳ Ｐゴシック"/>
            <family val="3"/>
            <charset val="128"/>
          </rPr>
          <t>深夜時間帯(23:00-5:00)</t>
        </r>
        <r>
          <rPr>
            <sz val="9"/>
            <color indexed="81"/>
            <rFont val="ＭＳ Ｐゴシック"/>
            <family val="3"/>
            <charset val="128"/>
          </rPr>
          <t>に仮眠休憩を取った場合、時間数を記載します。</t>
        </r>
      </text>
    </comment>
    <comment ref="AA7" authorId="3" shapeId="0" xr:uid="{00000000-0006-0000-0100-000011000000}">
      <text>
        <r>
          <rPr>
            <sz val="9"/>
            <color indexed="10"/>
            <rFont val="ＭＳ Ｐゴシック"/>
            <family val="3"/>
            <charset val="128"/>
          </rPr>
          <t>深夜明けの時間帯(5:00-8:00)</t>
        </r>
        <r>
          <rPr>
            <sz val="9"/>
            <color indexed="81"/>
            <rFont val="ＭＳ Ｐゴシック"/>
            <family val="3"/>
            <charset val="128"/>
          </rPr>
          <t>に仮眠休憩を取った場合、時間数を記載します。</t>
        </r>
      </text>
    </comment>
    <comment ref="M41" authorId="2" shapeId="0" xr:uid="{00000000-0006-0000-0100-000012000000}">
      <text>
        <r>
          <rPr>
            <sz val="9"/>
            <color indexed="81"/>
            <rFont val="ＭＳ Ｐゴシック"/>
            <family val="3"/>
            <charset val="128"/>
          </rPr>
          <t>ここに時間を入力すると
自動計算されます。</t>
        </r>
      </text>
    </comment>
    <comment ref="O41" authorId="2" shapeId="0" xr:uid="{00000000-0006-0000-0100-000013000000}">
      <text>
        <r>
          <rPr>
            <sz val="9"/>
            <color indexed="81"/>
            <rFont val="ＭＳ Ｐゴシック"/>
            <family val="3"/>
            <charset val="128"/>
          </rPr>
          <t>手入力です。</t>
        </r>
      </text>
    </comment>
    <comment ref="Q41" authorId="2" shapeId="0" xr:uid="{00000000-0006-0000-0100-000014000000}">
      <text>
        <r>
          <rPr>
            <sz val="9"/>
            <color indexed="81"/>
            <rFont val="ＭＳ Ｐゴシック"/>
            <family val="3"/>
            <charset val="128"/>
          </rPr>
          <t>手入力です。</t>
        </r>
      </text>
    </comment>
    <comment ref="R41" authorId="2" shapeId="0" xr:uid="{00000000-0006-0000-0100-000015000000}">
      <text>
        <r>
          <rPr>
            <sz val="9"/>
            <color indexed="81"/>
            <rFont val="ＭＳ Ｐゴシック"/>
            <family val="3"/>
            <charset val="128"/>
          </rPr>
          <t>手入力です。</t>
        </r>
      </text>
    </comment>
    <comment ref="B48" authorId="2" shapeId="0" xr:uid="{00000000-0006-0000-0100-000016000000}">
      <text>
        <r>
          <rPr>
            <sz val="9"/>
            <color indexed="17"/>
            <rFont val="ＭＳ Ｐゴシック"/>
            <family val="3"/>
            <charset val="128"/>
          </rPr>
          <t xml:space="preserve"> 最後にもう一度見直してから
 リーダーに確認を依頼しましょう。
 今月もお仕事お疲れ様でした。</t>
        </r>
      </text>
    </comment>
  </commentList>
</comments>
</file>

<file path=xl/sharedStrings.xml><?xml version="1.0" encoding="utf-8"?>
<sst xmlns="http://schemas.openxmlformats.org/spreadsheetml/2006/main" count="279" uniqueCount="122">
  <si>
    <t>勤務年月</t>
  </si>
  <si>
    <t>勤          務          時          間</t>
  </si>
  <si>
    <t>備     考     欄</t>
  </si>
  <si>
    <t>～</t>
  </si>
  <si>
    <t>合  計  欄</t>
  </si>
  <si>
    <t xml:space="preserve">  実  動  時  間</t>
  </si>
  <si>
    <t>時間外</t>
  </si>
  <si>
    <t>所  属</t>
    <rPh sb="0" eb="4">
      <t>ショゾク</t>
    </rPh>
    <phoneticPr fontId="5"/>
  </si>
  <si>
    <t>社員番号</t>
    <rPh sb="0" eb="2">
      <t>シャイン</t>
    </rPh>
    <rPh sb="2" eb="4">
      <t>バンゴウ</t>
    </rPh>
    <phoneticPr fontId="5"/>
  </si>
  <si>
    <t>職  種</t>
    <rPh sb="0" eb="4">
      <t>ショクシュ</t>
    </rPh>
    <phoneticPr fontId="5"/>
  </si>
  <si>
    <t>勤務場所</t>
    <rPh sb="0" eb="2">
      <t>キンム</t>
    </rPh>
    <rPh sb="2" eb="4">
      <t>バショ</t>
    </rPh>
    <phoneticPr fontId="5"/>
  </si>
  <si>
    <t>始業～終業</t>
    <rPh sb="0" eb="2">
      <t>シギョウ</t>
    </rPh>
    <rPh sb="3" eb="5">
      <t>シュウギョウ</t>
    </rPh>
    <phoneticPr fontId="5"/>
  </si>
  <si>
    <t>日付</t>
    <rPh sb="0" eb="2">
      <t>ヒヅケ</t>
    </rPh>
    <phoneticPr fontId="5"/>
  </si>
  <si>
    <t>曜日</t>
    <rPh sb="0" eb="2">
      <t>ヨウビ</t>
    </rPh>
    <phoneticPr fontId="5"/>
  </si>
  <si>
    <t>摘要</t>
    <rPh sb="0" eb="2">
      <t>テキヨウ</t>
    </rPh>
    <phoneticPr fontId="5"/>
  </si>
  <si>
    <t>実働</t>
    <rPh sb="0" eb="2">
      <t>ジツドウ</t>
    </rPh>
    <phoneticPr fontId="5"/>
  </si>
  <si>
    <t>欠除</t>
    <rPh sb="0" eb="1">
      <t>ケツ</t>
    </rPh>
    <rPh sb="1" eb="2">
      <t>ジョ</t>
    </rPh>
    <phoneticPr fontId="5"/>
  </si>
  <si>
    <t>時間外</t>
    <rPh sb="0" eb="3">
      <t>ジカンガイ</t>
    </rPh>
    <phoneticPr fontId="5"/>
  </si>
  <si>
    <t>深夜</t>
    <rPh sb="0" eb="2">
      <t>シンヤ</t>
    </rPh>
    <phoneticPr fontId="5"/>
  </si>
  <si>
    <t>時     間     帯</t>
    <rPh sb="0" eb="13">
      <t>ジカンタイ</t>
    </rPh>
    <phoneticPr fontId="5"/>
  </si>
  <si>
    <t>時間</t>
    <rPh sb="0" eb="2">
      <t>ジカン</t>
    </rPh>
    <phoneticPr fontId="5"/>
  </si>
  <si>
    <t>業務別内訳</t>
    <rPh sb="0" eb="2">
      <t>ギョウム</t>
    </rPh>
    <rPh sb="2" eb="3">
      <t>ベツ</t>
    </rPh>
    <rPh sb="3" eb="5">
      <t>ウチワケ</t>
    </rPh>
    <phoneticPr fontId="5"/>
  </si>
  <si>
    <t>業　務　名</t>
    <rPh sb="0" eb="1">
      <t>ギョウ</t>
    </rPh>
    <rPh sb="2" eb="3">
      <t>ツトム</t>
    </rPh>
    <rPh sb="4" eb="5">
      <t>メイ</t>
    </rPh>
    <phoneticPr fontId="5"/>
  </si>
  <si>
    <t>有　　　休</t>
    <rPh sb="0" eb="1">
      <t>ユウ</t>
    </rPh>
    <rPh sb="4" eb="5">
      <t>キュウ</t>
    </rPh>
    <phoneticPr fontId="5"/>
  </si>
  <si>
    <t>特別休暇</t>
    <rPh sb="0" eb="2">
      <t>トクベツ</t>
    </rPh>
    <rPh sb="2" eb="4">
      <t>キュウカ</t>
    </rPh>
    <phoneticPr fontId="5"/>
  </si>
  <si>
    <t>公　　　休</t>
    <rPh sb="0" eb="1">
      <t>オオヤケ</t>
    </rPh>
    <rPh sb="4" eb="5">
      <t>キュウ</t>
    </rPh>
    <phoneticPr fontId="5"/>
  </si>
  <si>
    <t>欠　　　勤</t>
    <rPh sb="0" eb="1">
      <t>ケツ</t>
    </rPh>
    <rPh sb="4" eb="5">
      <t>ツトム</t>
    </rPh>
    <phoneticPr fontId="5"/>
  </si>
  <si>
    <t>日</t>
    <rPh sb="0" eb="1">
      <t>ヒ</t>
    </rPh>
    <phoneticPr fontId="5"/>
  </si>
  <si>
    <t>区分</t>
    <rPh sb="0" eb="2">
      <t>クブン</t>
    </rPh>
    <phoneticPr fontId="5"/>
  </si>
  <si>
    <t>回</t>
    <rPh sb="0" eb="1">
      <t>カイ</t>
    </rPh>
    <phoneticPr fontId="5"/>
  </si>
  <si>
    <t>遅刻</t>
  </si>
  <si>
    <t>早退</t>
  </si>
  <si>
    <t>外出</t>
  </si>
  <si>
    <t>欠勤</t>
  </si>
  <si>
    <t>半欠</t>
  </si>
  <si>
    <t>有休</t>
  </si>
  <si>
    <t>半有</t>
  </si>
  <si>
    <t>特休</t>
  </si>
  <si>
    <t>公休</t>
  </si>
  <si>
    <t>シフト</t>
  </si>
  <si>
    <t>電遅</t>
  </si>
  <si>
    <t>休出</t>
    <rPh sb="0" eb="1">
      <t>キュウ</t>
    </rPh>
    <rPh sb="1" eb="2">
      <t>シュツ</t>
    </rPh>
    <phoneticPr fontId="5"/>
  </si>
  <si>
    <t>休 出</t>
    <rPh sb="0" eb="1">
      <t>キュウ</t>
    </rPh>
    <rPh sb="2" eb="3">
      <t>シュツ</t>
    </rPh>
    <phoneticPr fontId="5"/>
  </si>
  <si>
    <t>休出</t>
    <rPh sb="0" eb="1">
      <t>ヤス</t>
    </rPh>
    <phoneticPr fontId="5"/>
  </si>
  <si>
    <t>代休</t>
    <rPh sb="0" eb="1">
      <t>カ</t>
    </rPh>
    <phoneticPr fontId="5"/>
  </si>
  <si>
    <t>半特</t>
    <rPh sb="0" eb="1">
      <t>ハン</t>
    </rPh>
    <rPh sb="1" eb="2">
      <t>トク</t>
    </rPh>
    <phoneticPr fontId="5"/>
  </si>
  <si>
    <t>半有+半特</t>
    <rPh sb="0" eb="1">
      <t>ハン</t>
    </rPh>
    <rPh sb="1" eb="2">
      <t>ユウ</t>
    </rPh>
    <rPh sb="3" eb="4">
      <t>ハン</t>
    </rPh>
    <rPh sb="4" eb="5">
      <t>トク</t>
    </rPh>
    <phoneticPr fontId="5"/>
  </si>
  <si>
    <t>休日出勤</t>
  </si>
  <si>
    <t>代　　　休</t>
    <rPh sb="0" eb="1">
      <t>ダイ</t>
    </rPh>
    <rPh sb="4" eb="5">
      <t>キュウ</t>
    </rPh>
    <phoneticPr fontId="5"/>
  </si>
  <si>
    <t>氏</t>
    <phoneticPr fontId="5"/>
  </si>
  <si>
    <t>名</t>
    <phoneticPr fontId="5"/>
  </si>
  <si>
    <t>実 動</t>
    <phoneticPr fontId="5"/>
  </si>
  <si>
    <t>工 数</t>
    <phoneticPr fontId="5"/>
  </si>
  <si>
    <t>深 夜</t>
    <phoneticPr fontId="5"/>
  </si>
  <si>
    <t>23:00-5:00</t>
    <phoneticPr fontId="5"/>
  </si>
  <si>
    <t>5:00-8:00</t>
    <phoneticPr fontId="5"/>
  </si>
  <si>
    <t>休憩
時刻</t>
    <rPh sb="0" eb="2">
      <t>キュウケイ</t>
    </rPh>
    <rPh sb="3" eb="5">
      <t>ジコク</t>
    </rPh>
    <phoneticPr fontId="5"/>
  </si>
  <si>
    <t>シ　フ　ト</t>
    <phoneticPr fontId="5"/>
  </si>
  <si>
    <t xml:space="preserve"> 欠勤(半欠)、遅刻、早退、外出、電遅、休出、早出</t>
    <phoneticPr fontId="5"/>
  </si>
  <si>
    <t xml:space="preserve"> ※すべて0.5H=30分単位</t>
    <phoneticPr fontId="5"/>
  </si>
  <si>
    <t>控除1</t>
    <rPh sb="0" eb="2">
      <t>コウジョ</t>
    </rPh>
    <phoneticPr fontId="5"/>
  </si>
  <si>
    <t>控除2</t>
    <rPh sb="0" eb="2">
      <t>コウジョ</t>
    </rPh>
    <phoneticPr fontId="5"/>
  </si>
  <si>
    <t>控除2区分</t>
    <rPh sb="0" eb="2">
      <t>コウジョ</t>
    </rPh>
    <rPh sb="3" eb="5">
      <t>クブン</t>
    </rPh>
    <phoneticPr fontId="5"/>
  </si>
  <si>
    <t>H</t>
    <phoneticPr fontId="5"/>
  </si>
  <si>
    <t>NO</t>
    <phoneticPr fontId="5"/>
  </si>
  <si>
    <t>（作業概要、訪問先等）</t>
    <phoneticPr fontId="5"/>
  </si>
  <si>
    <t>遅　　　　刻
早　　　　退
外　　　　出</t>
    <rPh sb="0" eb="1">
      <t>チ</t>
    </rPh>
    <rPh sb="5" eb="6">
      <t>コク</t>
    </rPh>
    <rPh sb="7" eb="8">
      <t>ハヤ</t>
    </rPh>
    <rPh sb="12" eb="13">
      <t>タイ</t>
    </rPh>
    <phoneticPr fontId="5"/>
  </si>
  <si>
    <t>担当印</t>
    <rPh sb="0" eb="2">
      <t>タントウ</t>
    </rPh>
    <rPh sb="2" eb="3">
      <t>イン</t>
    </rPh>
    <phoneticPr fontId="5"/>
  </si>
  <si>
    <t>所属長印</t>
    <rPh sb="0" eb="3">
      <t>ショゾクチョウ</t>
    </rPh>
    <rPh sb="3" eb="4">
      <t>イン</t>
    </rPh>
    <phoneticPr fontId="5"/>
  </si>
  <si>
    <t>㊞</t>
    <phoneticPr fontId="5"/>
  </si>
  <si>
    <t>備考（作業概要、訪問先等）</t>
    <rPh sb="0" eb="2">
      <t>ビコウ</t>
    </rPh>
    <rPh sb="3" eb="5">
      <t>サギョウ</t>
    </rPh>
    <rPh sb="5" eb="7">
      <t>ガイヨウ</t>
    </rPh>
    <rPh sb="8" eb="10">
      <t>ホウモン</t>
    </rPh>
    <rPh sb="10" eb="12">
      <t>サキナド</t>
    </rPh>
    <phoneticPr fontId="5"/>
  </si>
  <si>
    <t>休憩
時間</t>
    <rPh sb="0" eb="2">
      <t>キュウケイ</t>
    </rPh>
    <rPh sb="3" eb="5">
      <t>ジカン</t>
    </rPh>
    <phoneticPr fontId="5"/>
  </si>
  <si>
    <t>～</t>
    <phoneticPr fontId="5"/>
  </si>
  <si>
    <t>適用一覧</t>
    <rPh sb="0" eb="2">
      <t>テキヨウ</t>
    </rPh>
    <rPh sb="2" eb="4">
      <t>イチラン</t>
    </rPh>
    <phoneticPr fontId="5"/>
  </si>
  <si>
    <t>半代</t>
    <rPh sb="1" eb="2">
      <t>ダイ</t>
    </rPh>
    <phoneticPr fontId="5"/>
  </si>
  <si>
    <t>早出</t>
    <phoneticPr fontId="5"/>
  </si>
  <si>
    <t>夏休</t>
    <rPh sb="0" eb="2">
      <t>ナツヤスミ</t>
    </rPh>
    <phoneticPr fontId="5"/>
  </si>
  <si>
    <t>雇用形態</t>
    <rPh sb="0" eb="2">
      <t>コヨウ</t>
    </rPh>
    <rPh sb="2" eb="4">
      <t>ケイタイ</t>
    </rPh>
    <phoneticPr fontId="5"/>
  </si>
  <si>
    <t>通常</t>
    <phoneticPr fontId="5"/>
  </si>
  <si>
    <t>フレックス</t>
    <phoneticPr fontId="5"/>
  </si>
  <si>
    <t>裁量労働制</t>
    <phoneticPr fontId="5"/>
  </si>
  <si>
    <t>部長</t>
    <rPh sb="0" eb="2">
      <t>ブチョウ</t>
    </rPh>
    <phoneticPr fontId="5"/>
  </si>
  <si>
    <t>雇用形態</t>
    <phoneticPr fontId="5"/>
  </si>
  <si>
    <t>菱山</t>
    <rPh sb="0" eb="2">
      <t>ヒシヤマ</t>
    </rPh>
    <phoneticPr fontId="24"/>
  </si>
  <si>
    <t>澤田さん指示により「半休」を「半代」に変更</t>
    <rPh sb="0" eb="2">
      <t>サワダ</t>
    </rPh>
    <rPh sb="4" eb="6">
      <t>シジ</t>
    </rPh>
    <rPh sb="10" eb="12">
      <t>ハンキュウ</t>
    </rPh>
    <rPh sb="15" eb="16">
      <t>ハン</t>
    </rPh>
    <rPh sb="16" eb="17">
      <t>ダイ</t>
    </rPh>
    <rPh sb="19" eb="21">
      <t>ヘンコウ</t>
    </rPh>
    <phoneticPr fontId="24"/>
  </si>
  <si>
    <t>1</t>
    <phoneticPr fontId="24"/>
  </si>
  <si>
    <t>バージョン</t>
    <phoneticPr fontId="24"/>
  </si>
  <si>
    <t>更新日</t>
    <rPh sb="0" eb="3">
      <t>コウシンビ</t>
    </rPh>
    <phoneticPr fontId="24"/>
  </si>
  <si>
    <t>更新者</t>
    <rPh sb="0" eb="3">
      <t>コウシンシャ</t>
    </rPh>
    <phoneticPr fontId="24"/>
  </si>
  <si>
    <t>内容</t>
    <rPh sb="0" eb="2">
      <t>ナイヨウ</t>
    </rPh>
    <phoneticPr fontId="24"/>
  </si>
  <si>
    <t>No</t>
    <phoneticPr fontId="24"/>
  </si>
  <si>
    <t>・更新履歴</t>
    <rPh sb="1" eb="3">
      <t>コウシン</t>
    </rPh>
    <rPh sb="3" eb="5">
      <t>リレキ</t>
    </rPh>
    <phoneticPr fontId="24"/>
  </si>
  <si>
    <t>1.1</t>
    <phoneticPr fontId="24"/>
  </si>
  <si>
    <t>2</t>
    <phoneticPr fontId="5"/>
  </si>
  <si>
    <t>3</t>
    <phoneticPr fontId="5"/>
  </si>
  <si>
    <t>「自社提出用」シートで8.5h以上勤務した場合は休憩時間を-1.5取得する計算に変更</t>
    <rPh sb="1" eb="3">
      <t>ジシャ</t>
    </rPh>
    <rPh sb="3" eb="6">
      <t>テイシュツヨウ</t>
    </rPh>
    <rPh sb="15" eb="17">
      <t>イジョウ</t>
    </rPh>
    <rPh sb="17" eb="19">
      <t>キンム</t>
    </rPh>
    <rPh sb="21" eb="23">
      <t>バアイ</t>
    </rPh>
    <rPh sb="24" eb="26">
      <t>キュウケイ</t>
    </rPh>
    <rPh sb="26" eb="28">
      <t>ジカン</t>
    </rPh>
    <rPh sb="33" eb="35">
      <t>シュトク</t>
    </rPh>
    <rPh sb="37" eb="39">
      <t>ケイサン</t>
    </rPh>
    <rPh sb="40" eb="42">
      <t>ヘンコウ</t>
    </rPh>
    <phoneticPr fontId="5"/>
  </si>
  <si>
    <t>4</t>
    <phoneticPr fontId="5"/>
  </si>
  <si>
    <t>信田さん指示により『明け』の選択肢を削除</t>
    <rPh sb="0" eb="2">
      <t>ノブタ</t>
    </rPh>
    <rPh sb="4" eb="6">
      <t>シジ</t>
    </rPh>
    <rPh sb="18" eb="20">
      <t>サクジョ</t>
    </rPh>
    <phoneticPr fontId="5"/>
  </si>
  <si>
    <t>菱山</t>
    <rPh sb="0" eb="2">
      <t>ヒシヤマ</t>
    </rPh>
    <phoneticPr fontId="5"/>
  </si>
  <si>
    <t>1.2</t>
    <phoneticPr fontId="5"/>
  </si>
  <si>
    <t>5</t>
    <phoneticPr fontId="5"/>
  </si>
  <si>
    <t>信田さん指示により「半日代休」の「半有＋半休」「半休＋半特」を修正</t>
    <rPh sb="0" eb="2">
      <t>ノブタ</t>
    </rPh>
    <rPh sb="4" eb="6">
      <t>シジ</t>
    </rPh>
    <rPh sb="31" eb="33">
      <t>シュウセイ</t>
    </rPh>
    <phoneticPr fontId="5"/>
  </si>
  <si>
    <t>半有+半代</t>
    <rPh sb="0" eb="1">
      <t>ハン</t>
    </rPh>
    <rPh sb="1" eb="2">
      <t>ユウ</t>
    </rPh>
    <phoneticPr fontId="5"/>
  </si>
  <si>
    <t>半代+半特</t>
    <rPh sb="3" eb="4">
      <t>ハン</t>
    </rPh>
    <rPh sb="4" eb="5">
      <t>トク</t>
    </rPh>
    <phoneticPr fontId="5"/>
  </si>
  <si>
    <t>時間帯の形式を「h:mm」から「[h]:mm」に変更</t>
    <rPh sb="0" eb="3">
      <t>ジカンタイ</t>
    </rPh>
    <rPh sb="4" eb="6">
      <t>ケイシキ</t>
    </rPh>
    <rPh sb="24" eb="26">
      <t>ヘンコウ</t>
    </rPh>
    <phoneticPr fontId="5"/>
  </si>
  <si>
    <t>6</t>
    <phoneticPr fontId="5"/>
  </si>
  <si>
    <t>7</t>
    <phoneticPr fontId="5"/>
  </si>
  <si>
    <t>1.2</t>
    <phoneticPr fontId="5"/>
  </si>
  <si>
    <t>1.2</t>
    <phoneticPr fontId="5"/>
  </si>
  <si>
    <t>信田さん指示により時間帯列に以下注意書きを記載
「深夜帯については、24時間表記をお願いします。
以下、記載例）
翌日午前3時　→　27時
翌日午前5時　→　29時
翌日午前10時　→　34時」</t>
    <rPh sb="0" eb="2">
      <t>ノブタ</t>
    </rPh>
    <rPh sb="4" eb="6">
      <t>シジ</t>
    </rPh>
    <rPh sb="9" eb="12">
      <t>ジカンタイ</t>
    </rPh>
    <rPh sb="12" eb="13">
      <t>レツ</t>
    </rPh>
    <rPh sb="14" eb="16">
      <t>イカ</t>
    </rPh>
    <rPh sb="16" eb="19">
      <t>チュウイガ</t>
    </rPh>
    <rPh sb="21" eb="23">
      <t>キサイ</t>
    </rPh>
    <phoneticPr fontId="5"/>
  </si>
  <si>
    <t xml:space="preserve"> シフト、半有+半代、半代+半特、半休+半特</t>
    <rPh sb="5" eb="6">
      <t>ハン</t>
    </rPh>
    <rPh sb="6" eb="7">
      <t>ユウ</t>
    </rPh>
    <rPh sb="8" eb="9">
      <t>ハン</t>
    </rPh>
    <rPh sb="9" eb="10">
      <t>ダイ</t>
    </rPh>
    <rPh sb="11" eb="12">
      <t>ハン</t>
    </rPh>
    <rPh sb="12" eb="13">
      <t>ダイ</t>
    </rPh>
    <rPh sb="14" eb="15">
      <t>ハン</t>
    </rPh>
    <rPh sb="15" eb="16">
      <t>トク</t>
    </rPh>
    <rPh sb="17" eb="18">
      <t>ハン</t>
    </rPh>
    <rPh sb="18" eb="19">
      <t>キュウ</t>
    </rPh>
    <rPh sb="20" eb="21">
      <t>ハン</t>
    </rPh>
    <rPh sb="21" eb="22">
      <t>トク</t>
    </rPh>
    <phoneticPr fontId="5"/>
  </si>
  <si>
    <t xml:space="preserve"> シフト、半代+半休、半有+半特、半代+半特</t>
    <rPh sb="5" eb="6">
      <t>ハン</t>
    </rPh>
    <rPh sb="6" eb="7">
      <t>ダイ</t>
    </rPh>
    <rPh sb="8" eb="9">
      <t>ハン</t>
    </rPh>
    <rPh sb="9" eb="10">
      <t>キュウ</t>
    </rPh>
    <rPh sb="11" eb="12">
      <t>ハン</t>
    </rPh>
    <rPh sb="12" eb="13">
      <t>ユウ</t>
    </rPh>
    <rPh sb="14" eb="15">
      <t>ハン</t>
    </rPh>
    <rPh sb="15" eb="16">
      <t>トク</t>
    </rPh>
    <rPh sb="17" eb="18">
      <t>ハン</t>
    </rPh>
    <rPh sb="18" eb="19">
      <t>ダイ</t>
    </rPh>
    <rPh sb="20" eb="21">
      <t>ハン</t>
    </rPh>
    <rPh sb="21" eb="22">
      <t>トク</t>
    </rPh>
    <phoneticPr fontId="5"/>
  </si>
  <si>
    <t xml:space="preserve"> [摘要欄] 有休(半有)、代休(半代)、特休(半特)、公休</t>
    <rPh sb="2" eb="5">
      <t>テキヨウラン</t>
    </rPh>
    <rPh sb="7" eb="9">
      <t>ユウキュウ</t>
    </rPh>
    <rPh sb="10" eb="12">
      <t>ハンユウ</t>
    </rPh>
    <rPh sb="14" eb="16">
      <t>ダイキュウ</t>
    </rPh>
    <rPh sb="17" eb="18">
      <t>ハン</t>
    </rPh>
    <rPh sb="18" eb="19">
      <t>ダイ</t>
    </rPh>
    <rPh sb="21" eb="23">
      <t>トッキュウ</t>
    </rPh>
    <rPh sb="24" eb="25">
      <t>ハン</t>
    </rPh>
    <rPh sb="25" eb="26">
      <t>トク</t>
    </rPh>
    <rPh sb="28" eb="30">
      <t>コウキュウ</t>
    </rPh>
    <phoneticPr fontId="5"/>
  </si>
  <si>
    <t>予備</t>
    <rPh sb="0" eb="2">
      <t>ヨビ</t>
    </rPh>
    <phoneticPr fontId="5"/>
  </si>
  <si>
    <t>開発</t>
    <rPh sb="0" eb="2">
      <t>カイハツ</t>
    </rPh>
    <phoneticPr fontId="5"/>
  </si>
  <si>
    <t>indigo</t>
    <phoneticPr fontId="5"/>
  </si>
  <si>
    <t>三軒茶屋</t>
    <rPh sb="0" eb="2">
      <t>サンゲン</t>
    </rPh>
    <rPh sb="2" eb="4">
      <t>チャヤ</t>
    </rPh>
    <phoneticPr fontId="5"/>
  </si>
  <si>
    <t>　胡高</t>
  </si>
  <si>
    <t>澤田さん指示により「職種」→「雇用形態」に変更。選択項目として「通常、フレックス、裁量労働制、部長」を追加。</t>
  </si>
  <si>
    <t>通常</t>
  </si>
  <si>
    <t xml:space="preserve"> 欠勤(半欠)、遅刻、早退、外出、電遅、休出、早出</t>
  </si>
  <si>
    <t>摘要を選択してください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</si>
</sst>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_);[Red]\(0.0\)"/>
    <numFmt numFmtId="165" formatCode="0.00_ "/>
    <numFmt numFmtId="166" formatCode="0.00_);[Red]\(0.00\)"/>
    <numFmt numFmtId="167" formatCode="[$-411]ggge&quot;年&quot;m&quot;月&quot;"/>
    <numFmt numFmtId="168" formatCode="0.0_ "/>
    <numFmt numFmtId="169" formatCode="aaa"/>
    <numFmt numFmtId="170" formatCode="d"/>
    <numFmt numFmtId="171" formatCode="h:mm;@"/>
    <numFmt numFmtId="172" formatCode="[h]:mm"/>
  </numFmts>
  <fonts count="27">
    <font>
      <sz val="11"/>
      <name val="ＭＳ Ｐ明朝"/>
      <family val="1"/>
      <charset val="128"/>
    </font>
    <font>
      <sz val="11"/>
      <color theme="1"/>
      <name val="Calibri"/>
      <family val="2"/>
      <charset val="128"/>
      <scheme val="minor"/>
    </font>
    <font>
      <b/>
      <sz val="12"/>
      <name val="Arial"/>
      <family val="2"/>
    </font>
    <font>
      <sz val="11"/>
      <name val="ＭＳ Ｐ明朝"/>
      <family val="1"/>
      <charset val="128"/>
    </font>
    <font>
      <sz val="14"/>
      <name val="ＭＳ 明朝"/>
      <family val="1"/>
      <charset val="128"/>
    </font>
    <font>
      <sz val="6"/>
      <name val="ＭＳ Ｐ明朝"/>
      <family val="1"/>
      <charset val="128"/>
    </font>
    <font>
      <sz val="9"/>
      <name val="ＭＳ Ｐ明朝"/>
      <family val="1"/>
      <charset val="128"/>
    </font>
    <font>
      <sz val="8"/>
      <name val="ＭＳ Ｐ明朝"/>
      <family val="1"/>
      <charset val="128"/>
    </font>
    <font>
      <sz val="9"/>
      <color indexed="10"/>
      <name val="ＭＳ Ｐゴシック"/>
      <family val="3"/>
      <charset val="128"/>
    </font>
    <font>
      <sz val="10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9"/>
      <color indexed="12"/>
      <name val="ＭＳ Ｐ明朝"/>
      <family val="1"/>
      <charset val="128"/>
    </font>
    <font>
      <sz val="6"/>
      <color indexed="9"/>
      <name val="ＭＳ Ｐ明朝"/>
      <family val="1"/>
      <charset val="128"/>
    </font>
    <font>
      <sz val="11"/>
      <color theme="0"/>
      <name val="ＭＳ Ｐ明朝"/>
      <family val="1"/>
      <charset val="128"/>
    </font>
    <font>
      <sz val="6"/>
      <color theme="1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9"/>
      <color rgb="FF000000"/>
      <name val="ＭＳ Ｐ明朝"/>
      <family val="1"/>
      <charset val="128"/>
    </font>
    <font>
      <sz val="8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8"/>
      <color theme="1"/>
      <name val="Calibri"/>
      <family val="3"/>
      <charset val="128"/>
      <scheme val="minor"/>
    </font>
    <font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9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38" fontId="3" fillId="0" borderId="0" applyFont="0" applyFill="0" applyBorder="0" applyAlignment="0" applyProtection="0"/>
    <xf numFmtId="0" fontId="4" fillId="0" borderId="0"/>
    <xf numFmtId="0" fontId="1" fillId="0" borderId="0">
      <alignment vertical="center"/>
    </xf>
  </cellStyleXfs>
  <cellXfs count="304">
    <xf numFmtId="0" fontId="0" fillId="0" borderId="0" xfId="0"/>
    <xf numFmtId="164" fontId="6" fillId="0" borderId="3" xfId="0" applyNumberFormat="1" applyFont="1" applyBorder="1" applyAlignment="1" applyProtection="1">
      <alignment horizontal="center" vertical="center" shrinkToFit="1"/>
      <protection locked="0"/>
    </xf>
    <xf numFmtId="0" fontId="3" fillId="0" borderId="0" xfId="0" applyFont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6" fillId="0" borderId="4" xfId="0" applyFont="1" applyBorder="1" applyAlignment="1" applyProtection="1">
      <alignment horizontal="center" vertical="center" shrinkToFit="1"/>
      <protection locked="0"/>
    </xf>
    <xf numFmtId="0" fontId="6" fillId="0" borderId="5" xfId="0" applyFont="1" applyBorder="1" applyAlignment="1" applyProtection="1">
      <alignment horizontal="center" vertical="center" shrinkToFit="1"/>
      <protection locked="0"/>
    </xf>
    <xf numFmtId="20" fontId="6" fillId="0" borderId="0" xfId="0" applyNumberFormat="1" applyFont="1" applyAlignment="1" applyProtection="1">
      <alignment horizontal="center" vertical="center"/>
      <protection locked="0"/>
    </xf>
    <xf numFmtId="0" fontId="13" fillId="0" borderId="6" xfId="0" applyFont="1" applyBorder="1" applyAlignment="1" applyProtection="1">
      <alignment horizontal="center" shrinkToFit="1"/>
      <protection locked="0"/>
    </xf>
    <xf numFmtId="0" fontId="13" fillId="0" borderId="9" xfId="0" applyFont="1" applyBorder="1" applyAlignment="1" applyProtection="1">
      <alignment horizontal="center" vertical="top" shrinkToFit="1"/>
      <protection locked="0"/>
    </xf>
    <xf numFmtId="0" fontId="14" fillId="0" borderId="0" xfId="0" applyFont="1" applyProtection="1">
      <protection locked="0"/>
    </xf>
    <xf numFmtId="0" fontId="13" fillId="0" borderId="13" xfId="0" applyFont="1" applyBorder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Protection="1">
      <protection locked="0"/>
    </xf>
    <xf numFmtId="0" fontId="15" fillId="0" borderId="14" xfId="0" applyFont="1" applyBorder="1" applyAlignment="1" applyProtection="1">
      <alignment horizontal="center" vertical="top"/>
      <protection locked="0"/>
    </xf>
    <xf numFmtId="0" fontId="16" fillId="0" borderId="0" xfId="0" applyFont="1" applyProtection="1">
      <protection locked="0"/>
    </xf>
    <xf numFmtId="49" fontId="6" fillId="0" borderId="15" xfId="0" applyNumberFormat="1" applyFont="1" applyBorder="1" applyAlignment="1" applyProtection="1">
      <alignment horizontal="center" vertical="center" wrapText="1"/>
      <protection locked="0"/>
    </xf>
    <xf numFmtId="49" fontId="6" fillId="0" borderId="16" xfId="0" applyNumberFormat="1" applyFont="1" applyBorder="1" applyAlignment="1" applyProtection="1">
      <alignment horizontal="center" vertical="center" wrapText="1"/>
      <protection locked="0"/>
    </xf>
    <xf numFmtId="0" fontId="9" fillId="0" borderId="17" xfId="0" applyFont="1" applyBorder="1" applyAlignment="1" applyProtection="1">
      <alignment horizontal="center" vertical="center" shrinkToFit="1"/>
      <protection locked="0"/>
    </xf>
    <xf numFmtId="168" fontId="13" fillId="0" borderId="17" xfId="0" applyNumberFormat="1" applyFont="1" applyBorder="1" applyAlignment="1" applyProtection="1">
      <alignment horizontal="right" vertical="center" shrinkToFit="1"/>
      <protection locked="0"/>
    </xf>
    <xf numFmtId="2" fontId="13" fillId="0" borderId="17" xfId="0" applyNumberFormat="1" applyFont="1" applyBorder="1" applyAlignment="1" applyProtection="1">
      <alignment horizontal="right" vertical="center" shrinkToFit="1"/>
      <protection locked="0"/>
    </xf>
    <xf numFmtId="165" fontId="13" fillId="0" borderId="17" xfId="0" applyNumberFormat="1" applyFont="1" applyBorder="1" applyAlignment="1" applyProtection="1">
      <alignment horizontal="right" vertical="center" shrinkToFi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70" fontId="13" fillId="0" borderId="18" xfId="0" applyNumberFormat="1" applyFont="1" applyBorder="1" applyAlignment="1" applyProtection="1">
      <alignment horizontal="center" vertical="center" shrinkToFit="1"/>
      <protection locked="0"/>
    </xf>
    <xf numFmtId="169" fontId="13" fillId="0" borderId="17" xfId="0" applyNumberFormat="1" applyFont="1" applyBorder="1" applyAlignment="1" applyProtection="1">
      <alignment horizontal="center" vertical="center" shrinkToFit="1"/>
      <protection locked="0"/>
    </xf>
    <xf numFmtId="171" fontId="9" fillId="0" borderId="19" xfId="0" applyNumberFormat="1" applyFont="1" applyBorder="1" applyAlignment="1" applyProtection="1">
      <alignment horizontal="right" vertical="center"/>
      <protection locked="0"/>
    </xf>
    <xf numFmtId="164" fontId="9" fillId="0" borderId="20" xfId="0" applyNumberFormat="1" applyFont="1" applyBorder="1" applyAlignment="1" applyProtection="1">
      <alignment horizontal="center" vertical="center"/>
      <protection locked="0"/>
    </xf>
    <xf numFmtId="164" fontId="9" fillId="0" borderId="21" xfId="0" applyNumberFormat="1" applyFont="1" applyBorder="1" applyAlignment="1" applyProtection="1">
      <alignment horizontal="center" vertical="center"/>
      <protection locked="0"/>
    </xf>
    <xf numFmtId="168" fontId="13" fillId="0" borderId="22" xfId="0" applyNumberFormat="1" applyFont="1" applyBorder="1" applyAlignment="1" applyProtection="1">
      <alignment horizontal="right" vertical="center" shrinkToFit="1"/>
      <protection locked="0"/>
    </xf>
    <xf numFmtId="171" fontId="9" fillId="0" borderId="23" xfId="0" applyNumberFormat="1" applyFont="1" applyBorder="1" applyAlignment="1" applyProtection="1">
      <alignment horizontal="right" vertical="center"/>
      <protection locked="0"/>
    </xf>
    <xf numFmtId="164" fontId="9" fillId="0" borderId="24" xfId="0" applyNumberFormat="1" applyFont="1" applyBorder="1" applyAlignment="1" applyProtection="1">
      <alignment horizontal="center" vertical="center"/>
      <protection locked="0"/>
    </xf>
    <xf numFmtId="164" fontId="9" fillId="0" borderId="16" xfId="0" applyNumberFormat="1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 shrinkToFit="1"/>
      <protection locked="0"/>
    </xf>
    <xf numFmtId="165" fontId="6" fillId="0" borderId="17" xfId="0" applyNumberFormat="1" applyFont="1" applyBorder="1" applyAlignment="1" applyProtection="1">
      <alignment horizontal="right" vertical="center" shrinkToFit="1"/>
      <protection locked="0"/>
    </xf>
    <xf numFmtId="165" fontId="6" fillId="0" borderId="25" xfId="0" applyNumberFormat="1" applyFont="1" applyBorder="1" applyAlignment="1" applyProtection="1">
      <alignment horizontal="right" vertical="center" shrinkToFit="1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3" fillId="0" borderId="26" xfId="0" applyFont="1" applyBorder="1" applyAlignment="1" applyProtection="1">
      <alignment horizontal="center" vertical="center" shrinkToFit="1"/>
      <protection locked="0"/>
    </xf>
    <xf numFmtId="0" fontId="13" fillId="0" borderId="27" xfId="0" applyFont="1" applyBorder="1" applyAlignment="1" applyProtection="1">
      <alignment horizontal="center" vertical="center" shrinkToFit="1"/>
      <protection locked="0"/>
    </xf>
    <xf numFmtId="0" fontId="13" fillId="0" borderId="28" xfId="0" applyFont="1" applyBorder="1" applyAlignment="1" applyProtection="1">
      <alignment horizontal="center" vertical="center" shrinkToFit="1"/>
      <protection locked="0"/>
    </xf>
    <xf numFmtId="165" fontId="6" fillId="0" borderId="30" xfId="0" applyNumberFormat="1" applyFont="1" applyBorder="1" applyAlignment="1" applyProtection="1">
      <alignment horizontal="right" vertical="center" shrinkToFit="1"/>
      <protection locked="0"/>
    </xf>
    <xf numFmtId="165" fontId="6" fillId="0" borderId="31" xfId="0" applyNumberFormat="1" applyFont="1" applyBorder="1" applyAlignment="1" applyProtection="1">
      <alignment horizontal="right" vertical="center" shrinkToFit="1"/>
      <protection locked="0"/>
    </xf>
    <xf numFmtId="166" fontId="13" fillId="0" borderId="22" xfId="0" applyNumberFormat="1" applyFont="1" applyBorder="1" applyAlignment="1" applyProtection="1">
      <alignment horizontal="right" vertical="center" shrinkToFit="1"/>
      <protection locked="0"/>
    </xf>
    <xf numFmtId="0" fontId="14" fillId="0" borderId="0" xfId="0" applyFont="1" applyAlignment="1" applyProtection="1">
      <alignment vertical="center"/>
      <protection locked="0"/>
    </xf>
    <xf numFmtId="171" fontId="9" fillId="0" borderId="32" xfId="0" applyNumberFormat="1" applyFont="1" applyBorder="1" applyAlignment="1" applyProtection="1">
      <alignment horizontal="right" vertical="center"/>
      <protection locked="0"/>
    </xf>
    <xf numFmtId="164" fontId="9" fillId="0" borderId="33" xfId="0" applyNumberFormat="1" applyFont="1" applyBorder="1" applyAlignment="1" applyProtection="1">
      <alignment horizontal="center" vertical="center"/>
      <protection locked="0"/>
    </xf>
    <xf numFmtId="164" fontId="9" fillId="0" borderId="34" xfId="0" applyNumberFormat="1" applyFont="1" applyBorder="1" applyAlignment="1" applyProtection="1">
      <alignment horizontal="center" vertical="center"/>
      <protection locked="0"/>
    </xf>
    <xf numFmtId="171" fontId="3" fillId="0" borderId="0" xfId="0" applyNumberFormat="1" applyFont="1" applyProtection="1">
      <protection locked="0"/>
    </xf>
    <xf numFmtId="171" fontId="18" fillId="0" borderId="0" xfId="0" applyNumberFormat="1" applyFont="1" applyAlignment="1" applyProtection="1">
      <alignment horizontal="center" vertical="center"/>
      <protection locked="0"/>
    </xf>
    <xf numFmtId="171" fontId="13" fillId="0" borderId="0" xfId="0" applyNumberFormat="1" applyFont="1" applyProtection="1">
      <protection locked="0"/>
    </xf>
    <xf numFmtId="0" fontId="9" fillId="0" borderId="13" xfId="0" applyFont="1" applyBorder="1" applyAlignment="1" applyProtection="1">
      <alignment horizontal="center"/>
      <protection locked="0"/>
    </xf>
    <xf numFmtId="0" fontId="9" fillId="0" borderId="14" xfId="0" applyFont="1" applyBorder="1" applyAlignment="1" applyProtection="1">
      <alignment horizontal="center" vertical="top"/>
      <protection locked="0"/>
    </xf>
    <xf numFmtId="171" fontId="3" fillId="0" borderId="22" xfId="0" applyNumberFormat="1" applyFont="1" applyBorder="1" applyAlignment="1" applyProtection="1">
      <alignment horizontal="center" vertical="center" shrinkToFit="1"/>
      <protection locked="0"/>
    </xf>
    <xf numFmtId="40" fontId="13" fillId="0" borderId="22" xfId="3" applyNumberFormat="1" applyFont="1" applyBorder="1" applyAlignment="1" applyProtection="1">
      <alignment horizontal="right" vertical="center" shrinkToFit="1"/>
      <protection locked="0"/>
    </xf>
    <xf numFmtId="20" fontId="3" fillId="0" borderId="35" xfId="0" applyNumberFormat="1" applyFont="1" applyBorder="1" applyAlignment="1" applyProtection="1">
      <alignment horizontal="center" vertical="center"/>
      <protection locked="0"/>
    </xf>
    <xf numFmtId="20" fontId="3" fillId="0" borderId="36" xfId="0" applyNumberFormat="1" applyFont="1" applyBorder="1" applyAlignment="1" applyProtection="1">
      <alignment horizontal="center" vertical="center"/>
      <protection locked="0"/>
    </xf>
    <xf numFmtId="20" fontId="3" fillId="0" borderId="12" xfId="0" applyNumberFormat="1" applyFont="1" applyBorder="1" applyAlignment="1" applyProtection="1">
      <alignment horizontal="center"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 shrinkToFit="1"/>
      <protection locked="0"/>
    </xf>
    <xf numFmtId="168" fontId="3" fillId="0" borderId="17" xfId="0" applyNumberFormat="1" applyFont="1" applyBorder="1" applyAlignment="1" applyProtection="1">
      <alignment horizontal="right" vertical="center" shrinkToFit="1"/>
      <protection locked="0"/>
    </xf>
    <xf numFmtId="168" fontId="3" fillId="0" borderId="22" xfId="0" applyNumberFormat="1" applyFont="1" applyBorder="1" applyAlignment="1" applyProtection="1">
      <alignment horizontal="right" vertical="center" shrinkToFit="1"/>
      <protection locked="0"/>
    </xf>
    <xf numFmtId="168" fontId="3" fillId="0" borderId="25" xfId="0" applyNumberFormat="1" applyFont="1" applyBorder="1" applyAlignment="1" applyProtection="1">
      <alignment horizontal="right" vertical="center" shrinkToFit="1"/>
      <protection locked="0"/>
    </xf>
    <xf numFmtId="168" fontId="3" fillId="0" borderId="38" xfId="0" applyNumberFormat="1" applyFont="1" applyBorder="1" applyAlignment="1" applyProtection="1">
      <alignment horizontal="right" vertical="center" shrinkToFit="1"/>
      <protection locked="0"/>
    </xf>
    <xf numFmtId="0" fontId="20" fillId="0" borderId="20" xfId="0" applyFont="1" applyBorder="1" applyAlignment="1" applyProtection="1">
      <alignment horizontal="center" vertical="center"/>
      <protection locked="0"/>
    </xf>
    <xf numFmtId="171" fontId="20" fillId="0" borderId="20" xfId="0" applyNumberFormat="1" applyFont="1" applyBorder="1" applyAlignment="1" applyProtection="1">
      <alignment horizontal="center" vertical="center"/>
      <protection locked="0"/>
    </xf>
    <xf numFmtId="0" fontId="20" fillId="0" borderId="24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5" fillId="0" borderId="23" xfId="0" applyFont="1" applyBorder="1" applyAlignment="1" applyProtection="1">
      <alignment horizontal="center" vertical="center"/>
      <protection locked="0"/>
    </xf>
    <xf numFmtId="49" fontId="23" fillId="0" borderId="0" xfId="5" applyNumberFormat="1" applyFont="1">
      <alignment vertical="center"/>
    </xf>
    <xf numFmtId="49" fontId="23" fillId="0" borderId="97" xfId="5" applyNumberFormat="1" applyFont="1" applyBorder="1">
      <alignment vertical="center"/>
    </xf>
    <xf numFmtId="14" fontId="23" fillId="0" borderId="97" xfId="5" applyNumberFormat="1" applyFont="1" applyBorder="1">
      <alignment vertical="center"/>
    </xf>
    <xf numFmtId="49" fontId="23" fillId="0" borderId="97" xfId="5" applyNumberFormat="1" applyFont="1" applyBorder="1" applyAlignment="1">
      <alignment horizontal="right" vertical="center"/>
    </xf>
    <xf numFmtId="49" fontId="25" fillId="2" borderId="97" xfId="5" applyNumberFormat="1" applyFont="1" applyFill="1" applyBorder="1" applyAlignment="1">
      <alignment horizontal="center" vertical="center"/>
    </xf>
    <xf numFmtId="49" fontId="23" fillId="2" borderId="97" xfId="5" applyNumberFormat="1" applyFont="1" applyFill="1" applyBorder="1" applyAlignment="1">
      <alignment horizontal="center" vertical="center"/>
    </xf>
    <xf numFmtId="49" fontId="23" fillId="0" borderId="97" xfId="5" applyNumberFormat="1" applyFont="1" applyBorder="1" applyAlignment="1">
      <alignment vertical="center" wrapText="1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0" fontId="13" fillId="3" borderId="29" xfId="0" applyFont="1" applyFill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0" fontId="7" fillId="0" borderId="95" xfId="0" applyFont="1" applyBorder="1" applyAlignment="1" applyProtection="1">
      <alignment horizontal="center" vertical="center"/>
      <protection locked="0"/>
    </xf>
    <xf numFmtId="0" fontId="7" fillId="0" borderId="20" xfId="0" applyFont="1" applyBorder="1" applyAlignment="1" applyProtection="1">
      <alignment horizontal="center" vertical="center"/>
      <protection locked="0"/>
    </xf>
    <xf numFmtId="165" fontId="9" fillId="0" borderId="50" xfId="0" applyNumberFormat="1" applyFont="1" applyBorder="1" applyAlignment="1" applyProtection="1">
      <alignment horizontal="center" vertical="center"/>
      <protection locked="0"/>
    </xf>
    <xf numFmtId="0" fontId="13" fillId="0" borderId="51" xfId="0" applyFont="1" applyBorder="1" applyAlignment="1">
      <alignment horizontal="center" vertical="center"/>
    </xf>
    <xf numFmtId="0" fontId="13" fillId="0" borderId="82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87" xfId="0" applyFont="1" applyBorder="1" applyAlignment="1">
      <alignment horizontal="center" vertical="center"/>
    </xf>
    <xf numFmtId="0" fontId="13" fillId="0" borderId="72" xfId="0" applyFont="1" applyBorder="1" applyAlignment="1">
      <alignment horizontal="center" vertical="center"/>
    </xf>
    <xf numFmtId="0" fontId="13" fillId="0" borderId="73" xfId="0" applyFont="1" applyBorder="1" applyAlignment="1">
      <alignment horizontal="center" vertical="center"/>
    </xf>
    <xf numFmtId="0" fontId="13" fillId="0" borderId="88" xfId="0" applyFont="1" applyBorder="1" applyAlignment="1">
      <alignment horizontal="center" vertical="center"/>
    </xf>
    <xf numFmtId="0" fontId="13" fillId="0" borderId="50" xfId="0" applyFont="1" applyBorder="1" applyAlignment="1" applyProtection="1">
      <alignment horizontal="center" vertical="center"/>
      <protection locked="0"/>
    </xf>
    <xf numFmtId="0" fontId="0" fillId="0" borderId="82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6" fillId="0" borderId="72" xfId="0" applyFont="1" applyBorder="1" applyAlignment="1" applyProtection="1">
      <alignment shrinkToFit="1"/>
      <protection locked="0"/>
    </xf>
    <xf numFmtId="0" fontId="13" fillId="0" borderId="73" xfId="0" applyFont="1" applyBorder="1" applyAlignment="1">
      <alignment shrinkToFit="1"/>
    </xf>
    <xf numFmtId="0" fontId="13" fillId="0" borderId="88" xfId="0" applyFont="1" applyBorder="1" applyAlignment="1">
      <alignment shrinkToFit="1"/>
    </xf>
    <xf numFmtId="165" fontId="6" fillId="3" borderId="89" xfId="0" applyNumberFormat="1" applyFont="1" applyFill="1" applyBorder="1" applyAlignment="1" applyProtection="1">
      <alignment horizontal="center" vertical="center" shrinkToFit="1"/>
      <protection locked="0"/>
    </xf>
    <xf numFmtId="165" fontId="6" fillId="3" borderId="90" xfId="0" applyNumberFormat="1" applyFont="1" applyFill="1" applyBorder="1" applyAlignment="1" applyProtection="1">
      <alignment horizontal="center" vertical="center" shrinkToFit="1"/>
      <protection locked="0"/>
    </xf>
    <xf numFmtId="0" fontId="9" fillId="0" borderId="30" xfId="0" applyFont="1" applyBorder="1" applyAlignment="1" applyProtection="1">
      <alignment horizontal="center" vertical="center" shrinkToFit="1"/>
      <protection locked="0"/>
    </xf>
    <xf numFmtId="0" fontId="9" fillId="0" borderId="68" xfId="0" applyFont="1" applyBorder="1" applyAlignment="1" applyProtection="1">
      <alignment horizontal="center" vertical="center" shrinkToFit="1"/>
      <protection locked="0"/>
    </xf>
    <xf numFmtId="0" fontId="9" fillId="0" borderId="61" xfId="0" applyFont="1" applyBorder="1" applyAlignment="1">
      <alignment horizontal="center" vertical="center" shrinkToFit="1"/>
    </xf>
    <xf numFmtId="0" fontId="9" fillId="0" borderId="68" xfId="0" applyFont="1" applyBorder="1" applyAlignment="1">
      <alignment horizontal="center" vertical="center" shrinkToFit="1"/>
    </xf>
    <xf numFmtId="165" fontId="6" fillId="0" borderId="30" xfId="0" applyNumberFormat="1" applyFont="1" applyBorder="1" applyAlignment="1" applyProtection="1">
      <alignment horizontal="right" vertical="center" shrinkToFit="1"/>
      <protection locked="0"/>
    </xf>
    <xf numFmtId="0" fontId="6" fillId="0" borderId="68" xfId="0" applyFont="1" applyBorder="1" applyAlignment="1" applyProtection="1">
      <alignment horizontal="right" vertical="center" shrinkToFit="1"/>
      <protection locked="0"/>
    </xf>
    <xf numFmtId="165" fontId="6" fillId="0" borderId="67" xfId="0" applyNumberFormat="1" applyFont="1" applyBorder="1" applyAlignment="1" applyProtection="1">
      <alignment horizontal="center" vertical="center" shrinkToFit="1"/>
      <protection locked="0"/>
    </xf>
    <xf numFmtId="165" fontId="6" fillId="0" borderId="68" xfId="0" applyNumberFormat="1" applyFont="1" applyBorder="1" applyAlignment="1" applyProtection="1">
      <alignment horizontal="center" vertical="center" shrinkToFit="1"/>
      <protection locked="0"/>
    </xf>
    <xf numFmtId="164" fontId="13" fillId="0" borderId="30" xfId="0" applyNumberFormat="1" applyFont="1" applyBorder="1" applyAlignment="1" applyProtection="1">
      <alignment horizontal="right" vertical="center" shrinkToFit="1"/>
      <protection locked="0"/>
    </xf>
    <xf numFmtId="0" fontId="0" fillId="0" borderId="61" xfId="0" applyBorder="1" applyAlignment="1">
      <alignment horizontal="right" vertical="center" shrinkToFit="1"/>
    </xf>
    <xf numFmtId="164" fontId="13" fillId="3" borderId="91" xfId="0" applyNumberFormat="1" applyFont="1" applyFill="1" applyBorder="1" applyAlignment="1" applyProtection="1">
      <alignment horizontal="right" vertical="center" shrinkToFit="1"/>
      <protection locked="0"/>
    </xf>
    <xf numFmtId="164" fontId="13" fillId="3" borderId="92" xfId="0" applyNumberFormat="1" applyFont="1" applyFill="1" applyBorder="1" applyAlignment="1">
      <alignment horizontal="right" vertical="center" shrinkToFit="1"/>
    </xf>
    <xf numFmtId="0" fontId="9" fillId="0" borderId="91" xfId="0" applyFont="1" applyBorder="1" applyAlignment="1" applyProtection="1">
      <alignment horizontal="center" vertical="center" shrinkToFit="1"/>
      <protection locked="0"/>
    </xf>
    <xf numFmtId="0" fontId="9" fillId="0" borderId="90" xfId="0" applyFont="1" applyBorder="1" applyAlignment="1" applyProtection="1">
      <alignment horizontal="center" vertical="center" shrinkToFit="1"/>
      <protection locked="0"/>
    </xf>
    <xf numFmtId="0" fontId="9" fillId="0" borderId="92" xfId="0" applyFont="1" applyBorder="1" applyAlignment="1">
      <alignment horizontal="center" vertical="center" shrinkToFit="1"/>
    </xf>
    <xf numFmtId="0" fontId="9" fillId="0" borderId="90" xfId="0" applyFont="1" applyBorder="1" applyAlignment="1">
      <alignment horizontal="center" vertical="center" shrinkToFit="1"/>
    </xf>
    <xf numFmtId="165" fontId="6" fillId="0" borderId="31" xfId="0" applyNumberFormat="1" applyFont="1" applyBorder="1" applyAlignment="1" applyProtection="1">
      <alignment horizontal="right" vertical="center" shrinkToFit="1"/>
      <protection locked="0"/>
    </xf>
    <xf numFmtId="0" fontId="6" fillId="0" borderId="93" xfId="0" applyFont="1" applyBorder="1" applyAlignment="1" applyProtection="1">
      <alignment horizontal="right" vertical="center" shrinkToFit="1"/>
      <protection locked="0"/>
    </xf>
    <xf numFmtId="164" fontId="13" fillId="0" borderId="61" xfId="0" applyNumberFormat="1" applyFont="1" applyBorder="1" applyAlignment="1">
      <alignment horizontal="right" vertical="center" shrinkToFit="1"/>
    </xf>
    <xf numFmtId="0" fontId="6" fillId="0" borderId="52" xfId="0" applyFont="1" applyBorder="1" applyAlignment="1" applyProtection="1">
      <alignment shrinkToFit="1"/>
      <protection locked="0"/>
    </xf>
    <xf numFmtId="0" fontId="13" fillId="0" borderId="0" xfId="0" applyFont="1" applyAlignment="1">
      <alignment shrinkToFit="1"/>
    </xf>
    <xf numFmtId="0" fontId="13" fillId="0" borderId="87" xfId="0" applyFont="1" applyBorder="1" applyAlignment="1">
      <alignment shrinkToFit="1"/>
    </xf>
    <xf numFmtId="164" fontId="13" fillId="0" borderId="17" xfId="0" applyNumberFormat="1" applyFont="1" applyBorder="1" applyAlignment="1" applyProtection="1">
      <alignment horizontal="right" vertical="center" shrinkToFit="1"/>
      <protection locked="0"/>
    </xf>
    <xf numFmtId="164" fontId="13" fillId="0" borderId="37" xfId="0" applyNumberFormat="1" applyFont="1" applyBorder="1" applyAlignment="1">
      <alignment horizontal="right" vertical="center" shrinkToFit="1"/>
    </xf>
    <xf numFmtId="0" fontId="6" fillId="0" borderId="50" xfId="0" applyFont="1" applyBorder="1" applyAlignment="1" applyProtection="1">
      <alignment shrinkToFit="1"/>
      <protection locked="0"/>
    </xf>
    <xf numFmtId="0" fontId="13" fillId="0" borderId="51" xfId="0" applyFont="1" applyBorder="1" applyAlignment="1">
      <alignment shrinkToFit="1"/>
    </xf>
    <xf numFmtId="0" fontId="13" fillId="0" borderId="82" xfId="0" applyFont="1" applyBorder="1" applyAlignment="1">
      <alignment shrinkToFit="1"/>
    </xf>
    <xf numFmtId="0" fontId="6" fillId="0" borderId="83" xfId="0" applyFont="1" applyBorder="1" applyAlignment="1" applyProtection="1">
      <alignment horizontal="center" vertical="center"/>
      <protection locked="0"/>
    </xf>
    <xf numFmtId="0" fontId="6" fillId="0" borderId="84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84" xfId="0" applyBorder="1" applyAlignment="1">
      <alignment horizontal="center" vertical="center"/>
    </xf>
    <xf numFmtId="0" fontId="6" fillId="0" borderId="85" xfId="0" applyFont="1" applyBorder="1" applyAlignment="1" applyProtection="1">
      <alignment horizontal="center" vertical="center" textRotation="255" shrinkToFit="1"/>
      <protection locked="0"/>
    </xf>
    <xf numFmtId="0" fontId="6" fillId="0" borderId="86" xfId="0" applyFont="1" applyBorder="1" applyAlignment="1" applyProtection="1">
      <alignment horizontal="center" vertical="center" textRotation="255" shrinkToFit="1"/>
      <protection locked="0"/>
    </xf>
    <xf numFmtId="0" fontId="6" fillId="0" borderId="3" xfId="0" applyFont="1" applyBorder="1" applyAlignment="1" applyProtection="1">
      <alignment horizontal="center" vertical="center" shrinkToFit="1"/>
      <protection locked="0"/>
    </xf>
    <xf numFmtId="0" fontId="6" fillId="0" borderId="81" xfId="0" applyFont="1" applyBorder="1" applyAlignment="1" applyProtection="1">
      <alignment horizontal="center" vertical="center" shrinkToFit="1"/>
      <protection locked="0"/>
    </xf>
    <xf numFmtId="0" fontId="13" fillId="0" borderId="69" xfId="0" applyFont="1" applyBorder="1" applyAlignment="1" applyProtection="1">
      <alignment horizontal="center" vertical="center" shrinkToFit="1"/>
      <protection locked="0"/>
    </xf>
    <xf numFmtId="0" fontId="13" fillId="0" borderId="70" xfId="0" applyFont="1" applyBorder="1" applyAlignment="1" applyProtection="1">
      <alignment horizontal="center" vertical="center" shrinkToFit="1"/>
      <protection locked="0"/>
    </xf>
    <xf numFmtId="0" fontId="13" fillId="0" borderId="71" xfId="0" applyFont="1" applyBorder="1" applyAlignment="1" applyProtection="1">
      <alignment horizontal="center" vertical="center" shrinkToFit="1"/>
      <protection locked="0"/>
    </xf>
    <xf numFmtId="0" fontId="13" fillId="0" borderId="72" xfId="0" applyFont="1" applyBorder="1" applyAlignment="1" applyProtection="1">
      <alignment horizontal="center" vertical="center" shrinkToFit="1"/>
      <protection locked="0"/>
    </xf>
    <xf numFmtId="0" fontId="13" fillId="0" borderId="73" xfId="0" applyFont="1" applyBorder="1" applyAlignment="1" applyProtection="1">
      <alignment horizontal="center" vertical="center" shrinkToFit="1"/>
      <protection locked="0"/>
    </xf>
    <xf numFmtId="0" fontId="13" fillId="0" borderId="74" xfId="0" applyFont="1" applyBorder="1" applyAlignment="1" applyProtection="1">
      <alignment horizontal="center" vertical="center" shrinkToFit="1"/>
      <protection locked="0"/>
    </xf>
    <xf numFmtId="0" fontId="13" fillId="0" borderId="70" xfId="0" applyFont="1" applyBorder="1" applyAlignment="1">
      <alignment horizontal="center" vertical="center" shrinkToFit="1"/>
    </xf>
    <xf numFmtId="0" fontId="13" fillId="0" borderId="71" xfId="0" applyFont="1" applyBorder="1" applyAlignment="1">
      <alignment horizontal="center" vertical="center" shrinkToFit="1"/>
    </xf>
    <xf numFmtId="0" fontId="13" fillId="0" borderId="73" xfId="0" applyFont="1" applyBorder="1" applyAlignment="1">
      <alignment horizontal="center" vertical="center" shrinkToFit="1"/>
    </xf>
    <xf numFmtId="0" fontId="13" fillId="0" borderId="74" xfId="0" applyFont="1" applyBorder="1" applyAlignment="1">
      <alignment horizontal="center" vertical="center" shrinkToFit="1"/>
    </xf>
    <xf numFmtId="2" fontId="3" fillId="0" borderId="75" xfId="0" applyNumberFormat="1" applyFont="1" applyBorder="1" applyAlignment="1" applyProtection="1">
      <alignment horizontal="right" vertical="center" shrinkToFit="1"/>
      <protection locked="0"/>
    </xf>
    <xf numFmtId="0" fontId="3" fillId="0" borderId="76" xfId="0" applyFont="1" applyBorder="1" applyAlignment="1" applyProtection="1">
      <alignment horizontal="right" vertical="center" shrinkToFit="1"/>
      <protection locked="0"/>
    </xf>
    <xf numFmtId="2" fontId="13" fillId="0" borderId="75" xfId="0" applyNumberFormat="1" applyFont="1" applyBorder="1" applyAlignment="1" applyProtection="1">
      <alignment horizontal="right" vertical="center" shrinkToFit="1"/>
      <protection locked="0"/>
    </xf>
    <xf numFmtId="0" fontId="13" fillId="0" borderId="76" xfId="0" applyFont="1" applyBorder="1" applyAlignment="1" applyProtection="1">
      <alignment horizontal="right" vertical="center" shrinkToFit="1"/>
      <protection locked="0"/>
    </xf>
    <xf numFmtId="2" fontId="13" fillId="0" borderId="77" xfId="0" applyNumberFormat="1" applyFont="1" applyBorder="1" applyAlignment="1" applyProtection="1">
      <alignment horizontal="right" vertical="center" shrinkToFit="1"/>
      <protection locked="0"/>
    </xf>
    <xf numFmtId="2" fontId="13" fillId="0" borderId="71" xfId="0" applyNumberFormat="1" applyFont="1" applyBorder="1" applyAlignment="1" applyProtection="1">
      <alignment horizontal="right" vertical="center" shrinkToFit="1"/>
      <protection locked="0"/>
    </xf>
    <xf numFmtId="0" fontId="13" fillId="0" borderId="78" xfId="0" applyFont="1" applyBorder="1" applyAlignment="1" applyProtection="1">
      <alignment horizontal="right" vertical="center" shrinkToFit="1"/>
      <protection locked="0"/>
    </xf>
    <xf numFmtId="0" fontId="13" fillId="0" borderId="74" xfId="0" applyFont="1" applyBorder="1" applyAlignment="1" applyProtection="1">
      <alignment horizontal="right" vertical="center" shrinkToFit="1"/>
      <protection locked="0"/>
    </xf>
    <xf numFmtId="0" fontId="0" fillId="0" borderId="78" xfId="0" applyBorder="1" applyAlignment="1">
      <alignment horizontal="right" vertical="center" shrinkToFit="1"/>
    </xf>
    <xf numFmtId="164" fontId="7" fillId="0" borderId="50" xfId="0" applyNumberFormat="1" applyFont="1" applyBorder="1" applyAlignment="1" applyProtection="1">
      <alignment horizontal="center" vertical="center" wrapText="1" shrinkToFit="1"/>
      <protection locked="0"/>
    </xf>
    <xf numFmtId="0" fontId="7" fillId="0" borderId="79" xfId="0" applyFont="1" applyBorder="1" applyAlignment="1">
      <alignment horizontal="center" vertical="center" wrapText="1" shrinkToFit="1"/>
    </xf>
    <xf numFmtId="164" fontId="7" fillId="0" borderId="18" xfId="0" applyNumberFormat="1" applyFont="1" applyBorder="1" applyAlignment="1" applyProtection="1">
      <alignment horizontal="center" vertical="center" wrapText="1" shrinkToFit="1"/>
      <protection locked="0"/>
    </xf>
    <xf numFmtId="0" fontId="7" fillId="0" borderId="80" xfId="0" applyFont="1" applyBorder="1" applyAlignment="1">
      <alignment horizontal="center" vertical="center" wrapText="1" shrinkToFit="1"/>
    </xf>
    <xf numFmtId="0" fontId="9" fillId="0" borderId="3" xfId="0" applyFont="1" applyBorder="1" applyAlignment="1" applyProtection="1">
      <alignment horizontal="center" vertical="center" shrinkToFit="1"/>
      <protection locked="0"/>
    </xf>
    <xf numFmtId="0" fontId="13" fillId="0" borderId="66" xfId="0" applyFont="1" applyBorder="1" applyAlignment="1">
      <alignment horizontal="center" vertical="center" shrinkToFit="1"/>
    </xf>
    <xf numFmtId="0" fontId="13" fillId="0" borderId="81" xfId="0" applyFont="1" applyBorder="1" applyAlignment="1">
      <alignment horizontal="center" vertical="center" shrinkToFit="1"/>
    </xf>
    <xf numFmtId="164" fontId="13" fillId="0" borderId="61" xfId="0" applyNumberFormat="1" applyFont="1" applyBorder="1" applyAlignment="1" applyProtection="1">
      <alignment horizontal="right" vertical="center" shrinkToFit="1"/>
      <protection locked="0"/>
    </xf>
    <xf numFmtId="164" fontId="6" fillId="0" borderId="3" xfId="0" applyNumberFormat="1" applyFont="1" applyBorder="1" applyAlignment="1" applyProtection="1">
      <alignment horizontal="center" vertical="center" shrinkToFit="1"/>
      <protection locked="0"/>
    </xf>
    <xf numFmtId="0" fontId="13" fillId="0" borderId="81" xfId="0" applyFont="1" applyBorder="1" applyAlignment="1" applyProtection="1">
      <alignment horizontal="center" vertical="center" shrinkToFit="1"/>
      <protection locked="0"/>
    </xf>
    <xf numFmtId="165" fontId="0" fillId="0" borderId="30" xfId="0" applyNumberFormat="1" applyBorder="1" applyAlignment="1" applyProtection="1">
      <alignment horizontal="left" vertical="center" indent="1" shrinkToFit="1"/>
      <protection locked="0"/>
    </xf>
    <xf numFmtId="165" fontId="13" fillId="0" borderId="61" xfId="0" applyNumberFormat="1" applyFont="1" applyBorder="1" applyAlignment="1" applyProtection="1">
      <alignment horizontal="left" vertical="center" indent="1" shrinkToFit="1"/>
      <protection locked="0"/>
    </xf>
    <xf numFmtId="165" fontId="13" fillId="0" borderId="27" xfId="0" applyNumberFormat="1" applyFont="1" applyBorder="1" applyAlignment="1" applyProtection="1">
      <alignment horizontal="left" vertical="center" indent="1" shrinkToFit="1"/>
      <protection locked="0"/>
    </xf>
    <xf numFmtId="172" fontId="3" fillId="0" borderId="30" xfId="0" applyNumberFormat="1" applyFont="1" applyBorder="1" applyAlignment="1" applyProtection="1">
      <alignment horizontal="center" vertical="center" shrinkToFit="1"/>
      <protection locked="0"/>
    </xf>
    <xf numFmtId="172" fontId="3" fillId="0" borderId="61" xfId="0" applyNumberFormat="1" applyFont="1" applyBorder="1" applyAlignment="1" applyProtection="1">
      <alignment horizontal="center" vertical="center" shrinkToFit="1"/>
      <protection locked="0"/>
    </xf>
    <xf numFmtId="0" fontId="0" fillId="0" borderId="61" xfId="0" applyBorder="1" applyAlignment="1" applyProtection="1">
      <alignment horizontal="center" vertical="center" shrinkToFit="1"/>
      <protection locked="0"/>
    </xf>
    <xf numFmtId="0" fontId="3" fillId="0" borderId="61" xfId="0" applyFont="1" applyBorder="1" applyAlignment="1" applyProtection="1">
      <alignment horizontal="center" vertical="center" shrinkToFit="1"/>
      <protection locked="0"/>
    </xf>
    <xf numFmtId="165" fontId="0" fillId="0" borderId="61" xfId="0" applyNumberFormat="1" applyBorder="1" applyAlignment="1" applyProtection="1">
      <alignment horizontal="left" vertical="center" indent="1" shrinkToFit="1"/>
      <protection locked="0"/>
    </xf>
    <xf numFmtId="165" fontId="0" fillId="0" borderId="27" xfId="0" applyNumberFormat="1" applyBorder="1" applyAlignment="1" applyProtection="1">
      <alignment horizontal="left" vertical="center" indent="1" shrinkToFit="1"/>
      <protection locked="0"/>
    </xf>
    <xf numFmtId="164" fontId="19" fillId="0" borderId="3" xfId="0" applyNumberFormat="1" applyFont="1" applyBorder="1" applyAlignment="1" applyProtection="1">
      <alignment horizontal="right" vertical="center" shrinkToFit="1"/>
      <protection locked="0"/>
    </xf>
    <xf numFmtId="164" fontId="19" fillId="0" borderId="66" xfId="0" applyNumberFormat="1" applyFont="1" applyBorder="1" applyAlignment="1" applyProtection="1">
      <alignment horizontal="right" vertical="center" shrinkToFit="1"/>
      <protection locked="0"/>
    </xf>
    <xf numFmtId="0" fontId="13" fillId="0" borderId="48" xfId="0" applyFont="1" applyBorder="1" applyAlignment="1" applyProtection="1">
      <alignment horizontal="center" vertical="center" textRotation="255" shrinkToFit="1"/>
      <protection locked="0"/>
    </xf>
    <xf numFmtId="0" fontId="15" fillId="0" borderId="49" xfId="0" applyFont="1" applyBorder="1" applyAlignment="1" applyProtection="1">
      <alignment horizontal="center" vertical="center" textRotation="255" shrinkToFit="1"/>
      <protection locked="0"/>
    </xf>
    <xf numFmtId="0" fontId="6" fillId="0" borderId="62" xfId="0" applyFont="1" applyBorder="1" applyAlignment="1" applyProtection="1">
      <alignment horizontal="center" vertical="center" wrapText="1"/>
      <protection locked="0"/>
    </xf>
    <xf numFmtId="0" fontId="6" fillId="0" borderId="63" xfId="0" applyFont="1" applyBorder="1" applyAlignment="1">
      <alignment horizontal="center" vertical="center"/>
    </xf>
    <xf numFmtId="0" fontId="9" fillId="0" borderId="13" xfId="0" applyFont="1" applyBorder="1" applyAlignment="1" applyProtection="1">
      <alignment horizontal="center" vertical="center" wrapText="1"/>
      <protection locked="0"/>
    </xf>
    <xf numFmtId="0" fontId="9" fillId="0" borderId="41" xfId="0" applyFont="1" applyBorder="1" applyAlignment="1" applyProtection="1">
      <alignment horizontal="center" vertical="center" wrapText="1"/>
      <protection locked="0"/>
    </xf>
    <xf numFmtId="0" fontId="9" fillId="0" borderId="64" xfId="0" applyFont="1" applyBorder="1" applyAlignment="1" applyProtection="1">
      <alignment horizontal="center" vertical="center" wrapText="1"/>
      <protection locked="0"/>
    </xf>
    <xf numFmtId="0" fontId="9" fillId="0" borderId="14" xfId="0" applyFont="1" applyBorder="1" applyAlignment="1" applyProtection="1">
      <alignment horizontal="center" vertical="center" wrapText="1"/>
      <protection locked="0"/>
    </xf>
    <xf numFmtId="0" fontId="9" fillId="0" borderId="12" xfId="0" applyFont="1" applyBorder="1" applyAlignment="1" applyProtection="1">
      <alignment horizontal="center" vertical="center" wrapText="1"/>
      <protection locked="0"/>
    </xf>
    <xf numFmtId="0" fontId="9" fillId="0" borderId="56" xfId="0" applyFont="1" applyBorder="1" applyAlignment="1" applyProtection="1">
      <alignment horizontal="center" vertical="center" wrapText="1"/>
      <protection locked="0"/>
    </xf>
    <xf numFmtId="165" fontId="0" fillId="0" borderId="65" xfId="0" applyNumberFormat="1" applyBorder="1" applyAlignment="1" applyProtection="1">
      <alignment horizontal="left" vertical="center" indent="1" shrinkToFit="1"/>
      <protection locked="0"/>
    </xf>
    <xf numFmtId="165" fontId="13" fillId="0" borderId="36" xfId="0" applyNumberFormat="1" applyFont="1" applyBorder="1" applyAlignment="1" applyProtection="1">
      <alignment horizontal="left" vertical="center" indent="1" shrinkToFit="1"/>
      <protection locked="0"/>
    </xf>
    <xf numFmtId="165" fontId="13" fillId="0" borderId="44" xfId="0" applyNumberFormat="1" applyFont="1" applyBorder="1" applyAlignment="1" applyProtection="1">
      <alignment horizontal="left" vertical="center" indent="1" shrinkToFit="1"/>
      <protection locked="0"/>
    </xf>
    <xf numFmtId="0" fontId="6" fillId="0" borderId="53" xfId="0" applyFont="1" applyBorder="1" applyAlignment="1" applyProtection="1">
      <alignment horizontal="center" vertical="center"/>
      <protection locked="0"/>
    </xf>
    <xf numFmtId="0" fontId="6" fillId="0" borderId="40" xfId="0" applyFont="1" applyBorder="1" applyAlignment="1" applyProtection="1">
      <alignment horizontal="center" vertical="center"/>
      <protection locked="0"/>
    </xf>
    <xf numFmtId="172" fontId="3" fillId="0" borderId="17" xfId="0" applyNumberFormat="1" applyFont="1" applyBorder="1" applyAlignment="1" applyProtection="1">
      <alignment horizontal="center" vertical="center" shrinkToFit="1"/>
      <protection locked="0"/>
    </xf>
    <xf numFmtId="172" fontId="3" fillId="0" borderId="37" xfId="0" applyNumberFormat="1" applyFont="1" applyBorder="1" applyAlignment="1" applyProtection="1">
      <alignment horizontal="center" vertical="center" shrinkToFit="1"/>
      <protection locked="0"/>
    </xf>
    <xf numFmtId="0" fontId="0" fillId="0" borderId="37" xfId="0" applyBorder="1" applyAlignment="1" applyProtection="1">
      <alignment horizontal="center" vertical="center" shrinkToFit="1"/>
      <protection locked="0"/>
    </xf>
    <xf numFmtId="0" fontId="3" fillId="0" borderId="37" xfId="0" applyFont="1" applyBorder="1" applyAlignment="1" applyProtection="1">
      <alignment horizontal="center" vertical="center" shrinkToFit="1"/>
      <protection locked="0"/>
    </xf>
    <xf numFmtId="171" fontId="13" fillId="0" borderId="13" xfId="0" applyNumberFormat="1" applyFont="1" applyBorder="1" applyAlignment="1" applyProtection="1">
      <alignment horizontal="center" vertical="center"/>
      <protection locked="0"/>
    </xf>
    <xf numFmtId="171" fontId="13" fillId="0" borderId="41" xfId="0" applyNumberFormat="1" applyFont="1" applyBorder="1" applyAlignment="1">
      <alignment horizontal="center" vertical="center"/>
    </xf>
    <xf numFmtId="171" fontId="13" fillId="0" borderId="54" xfId="0" applyNumberFormat="1" applyFont="1" applyBorder="1" applyAlignment="1">
      <alignment horizontal="center" vertical="center"/>
    </xf>
    <xf numFmtId="171" fontId="15" fillId="0" borderId="14" xfId="0" applyNumberFormat="1" applyFont="1" applyBorder="1" applyAlignment="1">
      <alignment horizontal="center" vertical="center"/>
    </xf>
    <xf numFmtId="171" fontId="15" fillId="0" borderId="12" xfId="0" applyNumberFormat="1" applyFont="1" applyBorder="1" applyAlignment="1">
      <alignment horizontal="center" vertical="center"/>
    </xf>
    <xf numFmtId="171" fontId="15" fillId="0" borderId="55" xfId="0" applyNumberFormat="1" applyFont="1" applyBorder="1" applyAlignment="1">
      <alignment horizontal="center" vertical="center"/>
    </xf>
    <xf numFmtId="0" fontId="9" fillId="0" borderId="48" xfId="0" applyFont="1" applyBorder="1" applyAlignment="1" applyProtection="1">
      <alignment horizontal="center" vertical="center" wrapText="1"/>
      <protection locked="0"/>
    </xf>
    <xf numFmtId="0" fontId="9" fillId="0" borderId="49" xfId="0" applyFont="1" applyBorder="1" applyAlignment="1" applyProtection="1">
      <alignment horizontal="center" vertical="center" wrapText="1"/>
      <protection locked="0"/>
    </xf>
    <xf numFmtId="20" fontId="13" fillId="0" borderId="10" xfId="0" applyNumberFormat="1" applyFont="1" applyBorder="1" applyAlignment="1" applyProtection="1">
      <alignment horizontal="center" vertical="center" shrinkToFit="1"/>
      <protection locked="0"/>
    </xf>
    <xf numFmtId="0" fontId="13" fillId="0" borderId="56" xfId="0" applyFont="1" applyBorder="1" applyAlignment="1">
      <alignment vertical="center" shrinkToFit="1"/>
    </xf>
    <xf numFmtId="0" fontId="0" fillId="0" borderId="5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14" fillId="0" borderId="59" xfId="0" applyFont="1" applyBorder="1" applyAlignment="1" applyProtection="1">
      <alignment horizontal="center" vertical="center"/>
      <protection locked="0"/>
    </xf>
    <xf numFmtId="0" fontId="0" fillId="0" borderId="60" xfId="0" applyBorder="1" applyAlignment="1">
      <alignment horizontal="center" vertical="center"/>
    </xf>
    <xf numFmtId="167" fontId="6" fillId="0" borderId="46" xfId="0" applyNumberFormat="1" applyFont="1" applyBorder="1" applyAlignment="1" applyProtection="1">
      <alignment horizontal="center" vertical="center" shrinkToFit="1"/>
      <protection locked="0"/>
    </xf>
    <xf numFmtId="0" fontId="13" fillId="0" borderId="12" xfId="0" applyFont="1" applyBorder="1" applyAlignment="1">
      <alignment shrinkToFit="1"/>
    </xf>
    <xf numFmtId="0" fontId="13" fillId="0" borderId="47" xfId="0" applyFont="1" applyBorder="1" applyAlignment="1" applyProtection="1">
      <alignment horizontal="center" vertical="center" textRotation="255" shrinkToFit="1"/>
      <protection locked="0"/>
    </xf>
    <xf numFmtId="0" fontId="15" fillId="0" borderId="46" xfId="0" applyFont="1" applyBorder="1" applyAlignment="1" applyProtection="1">
      <alignment horizontal="center" vertical="center" textRotation="255" shrinkToFit="1"/>
      <protection locked="0"/>
    </xf>
    <xf numFmtId="0" fontId="0" fillId="0" borderId="7" xfId="0" applyBorder="1" applyAlignment="1" applyProtection="1">
      <alignment horizontal="center" vertical="center" shrinkToFit="1"/>
      <protection locked="0"/>
    </xf>
    <xf numFmtId="0" fontId="0" fillId="0" borderId="8" xfId="0" applyBorder="1" applyAlignment="1" applyProtection="1">
      <alignment horizontal="center" vertical="center" shrinkToFit="1"/>
      <protection locked="0"/>
    </xf>
    <xf numFmtId="0" fontId="0" fillId="0" borderId="10" xfId="0" applyBorder="1" applyAlignment="1" applyProtection="1">
      <alignment horizontal="center" vertical="center" shrinkToFit="1"/>
      <protection locked="0"/>
    </xf>
    <xf numFmtId="0" fontId="0" fillId="0" borderId="11" xfId="0" applyBorder="1" applyAlignment="1" applyProtection="1">
      <alignment horizontal="center" vertical="center" shrinkToFit="1"/>
      <protection locked="0"/>
    </xf>
    <xf numFmtId="0" fontId="0" fillId="0" borderId="7" xfId="0" applyFont="1" applyBorder="1" applyAlignment="1" applyProtection="1">
      <alignment horizontal="center" vertical="center" wrapText="1"/>
      <protection locked="0"/>
    </xf>
    <xf numFmtId="0" fontId="0" fillId="0" borderId="8" xfId="0" applyFont="1" applyBorder="1" applyAlignment="1" applyProtection="1">
      <alignment horizontal="center" vertical="center" wrapText="1"/>
      <protection locked="0"/>
    </xf>
    <xf numFmtId="0" fontId="0" fillId="0" borderId="10" xfId="0" applyFont="1" applyBorder="1" applyAlignment="1" applyProtection="1">
      <alignment horizontal="center" vertical="center" wrapText="1"/>
      <protection locked="0"/>
    </xf>
    <xf numFmtId="0" fontId="0" fillId="0" borderId="11" xfId="0" applyFont="1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13" fillId="0" borderId="11" xfId="0" applyFont="1" applyBorder="1" applyAlignment="1" applyProtection="1">
      <alignment horizontal="center" vertical="center" wrapText="1"/>
      <protection locked="0"/>
    </xf>
    <xf numFmtId="0" fontId="13" fillId="0" borderId="39" xfId="0" applyFont="1" applyBorder="1" applyAlignment="1" applyProtection="1">
      <alignment horizontal="center" vertical="center" shrinkToFit="1"/>
      <protection locked="0"/>
    </xf>
    <xf numFmtId="0" fontId="13" fillId="0" borderId="45" xfId="0" applyFont="1" applyBorder="1" applyAlignment="1" applyProtection="1">
      <alignment horizontal="center" vertical="center" shrinkToFit="1"/>
      <protection locked="0"/>
    </xf>
    <xf numFmtId="0" fontId="13" fillId="0" borderId="50" xfId="0" applyFont="1" applyBorder="1" applyAlignment="1" applyProtection="1">
      <alignment horizontal="center" vertical="center" shrinkToFit="1"/>
      <protection locked="0"/>
    </xf>
    <xf numFmtId="0" fontId="13" fillId="0" borderId="52" xfId="0" applyFont="1" applyBorder="1" applyAlignment="1">
      <alignment shrinkToFit="1"/>
    </xf>
    <xf numFmtId="0" fontId="7" fillId="0" borderId="39" xfId="0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>
      <alignment horizontal="center" vertical="center"/>
    </xf>
    <xf numFmtId="171" fontId="0" fillId="0" borderId="39" xfId="0" quotePrefix="1" applyNumberFormat="1" applyBorder="1" applyAlignment="1">
      <alignment horizontal="center" vertical="center" shrinkToFit="1"/>
    </xf>
    <xf numFmtId="171" fontId="13" fillId="0" borderId="4" xfId="0" applyNumberFormat="1" applyFont="1" applyBorder="1" applyAlignment="1">
      <alignment horizontal="center" vertical="center" shrinkToFit="1"/>
    </xf>
    <xf numFmtId="171" fontId="13" fillId="0" borderId="45" xfId="0" applyNumberFormat="1" applyFont="1" applyBorder="1" applyAlignment="1">
      <alignment horizontal="center" vertical="center" shrinkToFit="1"/>
    </xf>
    <xf numFmtId="0" fontId="0" fillId="0" borderId="7" xfId="0" applyBorder="1" applyAlignment="1" applyProtection="1">
      <alignment horizontal="center" vertical="top" wrapText="1"/>
      <protection locked="0"/>
    </xf>
    <xf numFmtId="0" fontId="0" fillId="0" borderId="41" xfId="0" applyBorder="1" applyAlignment="1" applyProtection="1">
      <alignment horizontal="center" vertical="top" wrapText="1"/>
      <protection locked="0"/>
    </xf>
    <xf numFmtId="0" fontId="0" fillId="0" borderId="8" xfId="0" applyBorder="1" applyAlignment="1" applyProtection="1">
      <alignment horizontal="center" vertical="top" wrapText="1"/>
      <protection locked="0"/>
    </xf>
    <xf numFmtId="0" fontId="6" fillId="0" borderId="39" xfId="0" applyFont="1" applyBorder="1" applyAlignment="1" applyProtection="1">
      <alignment horizontal="center" vertical="center" shrinkToFit="1"/>
      <protection locked="0"/>
    </xf>
    <xf numFmtId="0" fontId="13" fillId="0" borderId="40" xfId="0" applyFont="1" applyBorder="1" applyAlignment="1">
      <alignment vertical="center" shrinkToFit="1"/>
    </xf>
    <xf numFmtId="171" fontId="0" fillId="0" borderId="7" xfId="0" applyNumberFormat="1" applyBorder="1" applyAlignment="1" applyProtection="1">
      <alignment horizontal="left" vertical="center" shrinkToFit="1"/>
      <protection locked="0"/>
    </xf>
    <xf numFmtId="171" fontId="13" fillId="0" borderId="41" xfId="0" applyNumberFormat="1" applyFont="1" applyBorder="1" applyAlignment="1">
      <alignment horizontal="left" vertical="center" shrinkToFit="1"/>
    </xf>
    <xf numFmtId="171" fontId="13" fillId="0" borderId="10" xfId="0" applyNumberFormat="1" applyFont="1" applyBorder="1" applyAlignment="1">
      <alignment horizontal="left" vertical="center" shrinkToFit="1"/>
    </xf>
    <xf numFmtId="171" fontId="13" fillId="0" borderId="12" xfId="0" applyNumberFormat="1" applyFont="1" applyBorder="1" applyAlignment="1">
      <alignment horizontal="left" vertical="center" shrinkToFit="1"/>
    </xf>
    <xf numFmtId="171" fontId="7" fillId="0" borderId="8" xfId="0" applyNumberFormat="1" applyFont="1" applyBorder="1" applyAlignment="1" applyProtection="1">
      <alignment horizontal="center" vertical="center"/>
      <protection locked="0"/>
    </xf>
    <xf numFmtId="171" fontId="13" fillId="0" borderId="11" xfId="0" applyNumberFormat="1" applyFont="1" applyBorder="1" applyAlignment="1" applyProtection="1">
      <alignment horizontal="center" vertical="center"/>
      <protection locked="0"/>
    </xf>
    <xf numFmtId="20" fontId="0" fillId="0" borderId="42" xfId="0" applyNumberFormat="1" applyBorder="1" applyAlignment="1" applyProtection="1">
      <alignment horizontal="center" vertical="center"/>
      <protection locked="0"/>
    </xf>
    <xf numFmtId="0" fontId="3" fillId="0" borderId="43" xfId="0" applyFont="1" applyBorder="1" applyAlignment="1" applyProtection="1">
      <alignment horizontal="center" vertical="center"/>
      <protection locked="0"/>
    </xf>
    <xf numFmtId="20" fontId="13" fillId="0" borderId="42" xfId="0" applyNumberFormat="1" applyFont="1" applyBorder="1" applyAlignment="1" applyProtection="1">
      <alignment horizontal="center" vertical="center" shrinkToFit="1"/>
      <protection locked="0"/>
    </xf>
    <xf numFmtId="0" fontId="13" fillId="0" borderId="44" xfId="0" applyFont="1" applyBorder="1" applyAlignment="1">
      <alignment vertical="center" shrinkToFit="1"/>
    </xf>
    <xf numFmtId="0" fontId="13" fillId="0" borderId="39" xfId="0" applyFont="1" applyBorder="1" applyAlignment="1" applyProtection="1">
      <alignment horizontal="center" vertical="center"/>
      <protection locked="0"/>
    </xf>
    <xf numFmtId="0" fontId="13" fillId="0" borderId="45" xfId="0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13" fillId="0" borderId="45" xfId="0" applyFont="1" applyBorder="1"/>
    <xf numFmtId="165" fontId="13" fillId="0" borderId="30" xfId="0" applyNumberFormat="1" applyFont="1" applyBorder="1" applyAlignment="1" applyProtection="1">
      <alignment horizontal="right" vertical="center" shrinkToFit="1"/>
      <protection locked="0"/>
    </xf>
    <xf numFmtId="165" fontId="13" fillId="0" borderId="68" xfId="0" applyNumberFormat="1" applyFont="1" applyBorder="1" applyAlignment="1" applyProtection="1">
      <alignment horizontal="right" vertical="center" shrinkToFit="1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64" xfId="0" applyBorder="1"/>
    <xf numFmtId="0" fontId="0" fillId="0" borderId="14" xfId="0" applyBorder="1"/>
    <xf numFmtId="0" fontId="0" fillId="0" borderId="12" xfId="0" applyBorder="1"/>
    <xf numFmtId="0" fontId="0" fillId="0" borderId="56" xfId="0" applyBorder="1"/>
    <xf numFmtId="166" fontId="9" fillId="0" borderId="30" xfId="0" applyNumberFormat="1" applyFont="1" applyBorder="1" applyAlignment="1" applyProtection="1">
      <alignment horizontal="left" vertical="center" shrinkToFit="1"/>
      <protection locked="0"/>
    </xf>
    <xf numFmtId="0" fontId="9" fillId="0" borderId="61" xfId="0" applyFont="1" applyBorder="1" applyAlignment="1">
      <alignment horizontal="left" vertical="center" shrinkToFit="1"/>
    </xf>
    <xf numFmtId="0" fontId="9" fillId="0" borderId="27" xfId="0" applyFont="1" applyBorder="1" applyAlignment="1">
      <alignment horizontal="left" vertical="center" shrinkToFit="1"/>
    </xf>
    <xf numFmtId="166" fontId="9" fillId="0" borderId="65" xfId="0" applyNumberFormat="1" applyFont="1" applyBorder="1" applyAlignment="1" applyProtection="1">
      <alignment horizontal="left" vertical="center" shrinkToFit="1"/>
      <protection locked="0"/>
    </xf>
    <xf numFmtId="0" fontId="9" fillId="0" borderId="36" xfId="0" applyFont="1" applyBorder="1" applyAlignment="1">
      <alignment horizontal="left" vertical="center" shrinkToFit="1"/>
    </xf>
    <xf numFmtId="0" fontId="9" fillId="0" borderId="44" xfId="0" applyFont="1" applyBorder="1" applyAlignment="1">
      <alignment horizontal="left" vertical="center" shrinkToFit="1"/>
    </xf>
    <xf numFmtId="171" fontId="3" fillId="0" borderId="61" xfId="0" applyNumberFormat="1" applyFont="1" applyBorder="1" applyAlignment="1" applyProtection="1">
      <alignment horizontal="center" vertical="center" shrinkToFit="1"/>
      <protection locked="0"/>
    </xf>
    <xf numFmtId="171" fontId="3" fillId="0" borderId="94" xfId="0" applyNumberFormat="1" applyFont="1" applyBorder="1" applyAlignment="1" applyProtection="1">
      <alignment horizontal="center" vertical="center" shrinkToFit="1"/>
      <protection locked="0"/>
    </xf>
    <xf numFmtId="20" fontId="3" fillId="0" borderId="42" xfId="0" applyNumberFormat="1" applyFont="1" applyBorder="1" applyAlignment="1" applyProtection="1">
      <alignment horizontal="center" vertical="center"/>
      <protection locked="0"/>
    </xf>
    <xf numFmtId="171" fontId="3" fillId="0" borderId="36" xfId="0" applyNumberFormat="1" applyFont="1" applyBorder="1" applyAlignment="1" applyProtection="1">
      <alignment horizontal="center" vertical="center" shrinkToFit="1"/>
      <protection locked="0"/>
    </xf>
    <xf numFmtId="0" fontId="13" fillId="0" borderId="48" xfId="0" applyFont="1" applyBorder="1" applyAlignment="1" applyProtection="1">
      <alignment horizontal="center" vertical="center" textRotation="255"/>
      <protection locked="0"/>
    </xf>
    <xf numFmtId="0" fontId="15" fillId="0" borderId="49" xfId="0" applyFont="1" applyBorder="1" applyAlignment="1" applyProtection="1">
      <alignment horizontal="center" vertical="center" textRotation="255"/>
      <protection locked="0"/>
    </xf>
    <xf numFmtId="0" fontId="6" fillId="0" borderId="48" xfId="0" applyFont="1" applyBorder="1" applyAlignment="1" applyProtection="1">
      <alignment horizontal="center" vertical="center" textRotation="255"/>
      <protection locked="0"/>
    </xf>
    <xf numFmtId="171" fontId="13" fillId="0" borderId="39" xfId="0" applyNumberFormat="1" applyFont="1" applyBorder="1" applyAlignment="1">
      <alignment horizontal="center" vertical="center" shrinkToFit="1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center" vertical="center" textRotation="255"/>
    </xf>
    <xf numFmtId="166" fontId="9" fillId="0" borderId="91" xfId="0" applyNumberFormat="1" applyFont="1" applyBorder="1" applyAlignment="1" applyProtection="1">
      <alignment horizontal="left" vertical="center" shrinkToFit="1"/>
      <protection locked="0"/>
    </xf>
    <xf numFmtId="0" fontId="9" fillId="0" borderId="92" xfId="0" applyFont="1" applyBorder="1" applyAlignment="1">
      <alignment horizontal="left" vertical="center" shrinkToFit="1"/>
    </xf>
    <xf numFmtId="0" fontId="9" fillId="0" borderId="29" xfId="0" applyFont="1" applyBorder="1" applyAlignment="1">
      <alignment horizontal="left" vertical="center" shrinkToFit="1"/>
    </xf>
    <xf numFmtId="0" fontId="7" fillId="0" borderId="96" xfId="0" applyFont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166" fontId="9" fillId="0" borderId="61" xfId="0" applyNumberFormat="1" applyFont="1" applyBorder="1" applyAlignment="1" applyProtection="1">
      <alignment horizontal="left" vertical="center" shrinkToFit="1"/>
      <protection locked="0"/>
    </xf>
    <xf numFmtId="166" fontId="9" fillId="0" borderId="27" xfId="0" applyNumberFormat="1" applyFont="1" applyBorder="1" applyAlignment="1" applyProtection="1">
      <alignment horizontal="left" vertical="center" shrinkToFit="1"/>
      <protection locked="0"/>
    </xf>
  </cellXfs>
  <cellStyles count="6">
    <cellStyle name="Comma [0]" xfId="3" builtinId="6"/>
    <cellStyle name="Header1" xfId="1" xr:uid="{00000000-0005-0000-0000-000000000000}"/>
    <cellStyle name="Header2" xfId="2" xr:uid="{00000000-0005-0000-0000-000001000000}"/>
    <cellStyle name="Normal" xfId="0" builtinId="0"/>
    <cellStyle name="標準 2" xfId="5" xr:uid="{00000000-0005-0000-0000-000004000000}"/>
    <cellStyle name="未定義" xfId="4" xr:uid="{00000000-0005-0000-0000-000005000000}"/>
  </cellStyles>
  <dxfs count="740"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180975</xdr:colOff>
          <xdr:row>2</xdr:row>
          <xdr:rowOff>19050</xdr:rowOff>
        </xdr:from>
        <xdr:to>
          <xdr:col>23</xdr:col>
          <xdr:colOff>1143000</xdr:colOff>
          <xdr:row>4</xdr:row>
          <xdr:rowOff>171450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0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自社提出用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へコピー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228600</xdr:colOff>
          <xdr:row>2</xdr:row>
          <xdr:rowOff>28575</xdr:rowOff>
        </xdr:from>
        <xdr:to>
          <xdr:col>23</xdr:col>
          <xdr:colOff>1266825</xdr:colOff>
          <xdr:row>4</xdr:row>
          <xdr:rowOff>161925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計算する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C48"/>
  <sheetViews>
    <sheetView showGridLines="0" tabSelected="1" zoomScaleNormal="100" workbookViewId="0">
      <pane xSplit="12" ySplit="7" topLeftCell="M20" activePane="bottomRight" state="frozenSplit"/>
      <selection activeCell="F50" sqref="F50:G50"/>
      <selection pane="topRight" activeCell="F50" sqref="F50:G50"/>
      <selection pane="bottomLeft" activeCell="F50" sqref="F50:G50"/>
      <selection pane="bottomRight" activeCell="O33" sqref="O33:W33"/>
    </sheetView>
  </sheetViews>
  <sheetFormatPr defaultColWidth="9" defaultRowHeight="13.5"/>
  <cols>
    <col min="1" max="1" width="0.5" style="5" customWidth="1"/>
    <col min="2" max="3" width="3.625" style="5" customWidth="1"/>
    <col min="4" max="4" width="5" style="5" customWidth="1"/>
    <col min="5" max="5" width="3.625" style="5" customWidth="1"/>
    <col min="6" max="7" width="5" style="5" customWidth="1"/>
    <col min="8" max="8" width="3.125" style="49" customWidth="1"/>
    <col min="9" max="9" width="4.125" style="49" customWidth="1"/>
    <col min="10" max="11" width="1.625" style="49" customWidth="1"/>
    <col min="12" max="12" width="7.25" style="49" customWidth="1"/>
    <col min="13" max="14" width="5.625" style="5" customWidth="1"/>
    <col min="15" max="15" width="2.5" style="5" customWidth="1"/>
    <col min="16" max="16" width="3.125" style="5" customWidth="1"/>
    <col min="17" max="18" width="5.625" style="5" customWidth="1"/>
    <col min="19" max="19" width="1.75" style="5" customWidth="1"/>
    <col min="20" max="21" width="6.625" style="5" customWidth="1"/>
    <col min="22" max="22" width="2.5" style="5" customWidth="1"/>
    <col min="23" max="23" width="4.125" style="5" customWidth="1"/>
    <col min="24" max="24" width="16.875" style="3" customWidth="1"/>
    <col min="25" max="25" width="5.75" style="3" customWidth="1"/>
    <col min="26" max="26" width="8.625" style="3" bestFit="1" customWidth="1"/>
    <col min="27" max="27" width="8.625" style="3" customWidth="1"/>
    <col min="28" max="28" width="2.75" style="3" customWidth="1"/>
    <col min="29" max="16384" width="9" style="5"/>
  </cols>
  <sheetData>
    <row r="1" spans="1:29" ht="4.5" customHeight="1" thickBot="1">
      <c r="B1" s="2"/>
      <c r="C1" s="2"/>
      <c r="D1" s="2"/>
      <c r="E1" s="2"/>
      <c r="F1" s="2"/>
      <c r="G1" s="2"/>
      <c r="H1" s="47"/>
      <c r="I1" s="47"/>
      <c r="J1" s="47"/>
      <c r="K1" s="47"/>
      <c r="L1" s="47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9" ht="17.100000000000001" customHeight="1">
      <c r="B2" s="245" t="s">
        <v>0</v>
      </c>
      <c r="C2" s="144"/>
      <c r="D2" s="144"/>
      <c r="E2" s="267" t="s">
        <v>7</v>
      </c>
      <c r="F2" s="272"/>
      <c r="G2" s="247" t="s">
        <v>8</v>
      </c>
      <c r="H2" s="248"/>
      <c r="I2" s="249"/>
      <c r="J2" s="250"/>
      <c r="K2" s="250"/>
      <c r="L2" s="251"/>
      <c r="M2" s="267" t="s">
        <v>9</v>
      </c>
      <c r="N2" s="268"/>
      <c r="O2" s="267" t="s">
        <v>10</v>
      </c>
      <c r="P2" s="269"/>
      <c r="Q2" s="268"/>
      <c r="R2" s="243" t="s">
        <v>11</v>
      </c>
      <c r="S2" s="244"/>
      <c r="T2" s="6">
        <v>1</v>
      </c>
      <c r="U2" s="7">
        <v>2</v>
      </c>
      <c r="V2" s="255">
        <v>3</v>
      </c>
      <c r="W2" s="256"/>
      <c r="X2" s="8"/>
      <c r="Y2" s="8"/>
      <c r="AA2" s="8"/>
      <c r="AB2" s="4"/>
    </row>
    <row r="3" spans="1:29" ht="17.100000000000001" customHeight="1">
      <c r="B3" s="246"/>
      <c r="C3" s="139"/>
      <c r="D3" s="139"/>
      <c r="E3" s="232" t="s">
        <v>114</v>
      </c>
      <c r="F3" s="233"/>
      <c r="G3" s="9" t="s">
        <v>49</v>
      </c>
      <c r="H3" s="257" t="s">
        <v>117</v>
      </c>
      <c r="I3" s="258"/>
      <c r="J3" s="258"/>
      <c r="K3" s="258"/>
      <c r="L3" s="261" t="s">
        <v>69</v>
      </c>
      <c r="M3" s="236" t="s">
        <v>114</v>
      </c>
      <c r="N3" s="237"/>
      <c r="O3" s="252" t="s">
        <v>115</v>
      </c>
      <c r="P3" s="253"/>
      <c r="Q3" s="254"/>
      <c r="R3" s="263">
        <v>0.41666666666666669</v>
      </c>
      <c r="S3" s="264"/>
      <c r="T3" s="54"/>
      <c r="U3" s="55"/>
      <c r="V3" s="265"/>
      <c r="W3" s="266"/>
      <c r="X3" s="8"/>
      <c r="Y3" s="8"/>
      <c r="Z3" s="8"/>
      <c r="AA3" s="8"/>
      <c r="AB3" s="8"/>
    </row>
    <row r="4" spans="1:29" s="11" customFormat="1" ht="17.100000000000001" customHeight="1">
      <c r="B4" s="228">
        <v>43891</v>
      </c>
      <c r="C4" s="229"/>
      <c r="D4" s="229"/>
      <c r="E4" s="234"/>
      <c r="F4" s="235"/>
      <c r="G4" s="10" t="s">
        <v>50</v>
      </c>
      <c r="H4" s="259"/>
      <c r="I4" s="260"/>
      <c r="J4" s="260"/>
      <c r="K4" s="260"/>
      <c r="L4" s="262"/>
      <c r="M4" s="238"/>
      <c r="N4" s="239"/>
      <c r="O4" s="240" t="s">
        <v>116</v>
      </c>
      <c r="P4" s="241"/>
      <c r="Q4" s="242"/>
      <c r="R4" s="270">
        <v>0.75</v>
      </c>
      <c r="S4" s="271"/>
      <c r="T4" s="56"/>
      <c r="U4" s="57"/>
      <c r="V4" s="221"/>
      <c r="W4" s="222"/>
      <c r="X4" s="8"/>
      <c r="Y4" s="8"/>
      <c r="Z4" s="8"/>
      <c r="AA4" s="8"/>
      <c r="AB4" s="8"/>
    </row>
    <row r="5" spans="1:29" ht="17.100000000000001" customHeight="1" thickBot="1">
      <c r="A5" s="43"/>
      <c r="B5" s="223" t="s">
        <v>1</v>
      </c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  <c r="R5" s="225"/>
      <c r="S5" s="226" t="s">
        <v>2</v>
      </c>
      <c r="T5" s="224"/>
      <c r="U5" s="224"/>
      <c r="V5" s="224"/>
      <c r="W5" s="227"/>
    </row>
    <row r="6" spans="1:29" s="14" customFormat="1" ht="17.100000000000001" customHeight="1">
      <c r="B6" s="230" t="s">
        <v>12</v>
      </c>
      <c r="C6" s="194" t="s">
        <v>13</v>
      </c>
      <c r="D6" s="194" t="s">
        <v>14</v>
      </c>
      <c r="E6" s="194" t="s">
        <v>28</v>
      </c>
      <c r="F6" s="194" t="s">
        <v>60</v>
      </c>
      <c r="G6" s="194" t="s">
        <v>61</v>
      </c>
      <c r="H6" s="213" t="s">
        <v>19</v>
      </c>
      <c r="I6" s="214"/>
      <c r="J6" s="214"/>
      <c r="K6" s="214"/>
      <c r="L6" s="215"/>
      <c r="M6" s="50" t="s">
        <v>15</v>
      </c>
      <c r="N6" s="219" t="s">
        <v>71</v>
      </c>
      <c r="O6" s="198" t="s">
        <v>70</v>
      </c>
      <c r="P6" s="199"/>
      <c r="Q6" s="199"/>
      <c r="R6" s="199"/>
      <c r="S6" s="199"/>
      <c r="T6" s="199"/>
      <c r="U6" s="199"/>
      <c r="V6" s="199"/>
      <c r="W6" s="200"/>
      <c r="X6" s="13"/>
      <c r="Y6" s="196" t="s">
        <v>56</v>
      </c>
      <c r="Z6" s="207" t="s">
        <v>62</v>
      </c>
      <c r="AA6" s="208"/>
      <c r="AB6" s="3"/>
      <c r="AC6" s="97" t="s">
        <v>73</v>
      </c>
    </row>
    <row r="7" spans="1:29" s="16" customFormat="1" ht="16.5" customHeight="1" thickBot="1">
      <c r="B7" s="231"/>
      <c r="C7" s="195"/>
      <c r="D7" s="195"/>
      <c r="E7" s="195"/>
      <c r="F7" s="195"/>
      <c r="G7" s="195"/>
      <c r="H7" s="216"/>
      <c r="I7" s="217"/>
      <c r="J7" s="217"/>
      <c r="K7" s="217"/>
      <c r="L7" s="218"/>
      <c r="M7" s="51" t="s">
        <v>20</v>
      </c>
      <c r="N7" s="220"/>
      <c r="O7" s="201"/>
      <c r="P7" s="202"/>
      <c r="Q7" s="202"/>
      <c r="R7" s="202"/>
      <c r="S7" s="202"/>
      <c r="T7" s="202"/>
      <c r="U7" s="202"/>
      <c r="V7" s="202"/>
      <c r="W7" s="203"/>
      <c r="Y7" s="197"/>
      <c r="Z7" s="17" t="s">
        <v>54</v>
      </c>
      <c r="AA7" s="18" t="s">
        <v>55</v>
      </c>
      <c r="AC7" s="98"/>
    </row>
    <row r="8" spans="1:29" ht="17.100000000000001" customHeight="1">
      <c r="B8" s="24">
        <f>B4</f>
        <v>43891</v>
      </c>
      <c r="C8" s="25">
        <f t="shared" ref="C8:C38" si="0">B8</f>
        <v>43891</v>
      </c>
      <c r="D8" s="19"/>
      <c r="E8" s="58"/>
      <c r="F8" s="59"/>
      <c r="G8" s="59"/>
      <c r="H8" s="209"/>
      <c r="I8" s="210"/>
      <c r="J8" s="211" t="s">
        <v>72</v>
      </c>
      <c r="K8" s="212"/>
      <c r="L8" s="75"/>
      <c r="M8" s="53" t="str">
        <f>IF(H8="","",HOUR(L8-H8-N8)+MINUTE(L8-H8-N8)/60)</f>
        <v/>
      </c>
      <c r="N8" s="52"/>
      <c r="O8" s="204"/>
      <c r="P8" s="205"/>
      <c r="Q8" s="205"/>
      <c r="R8" s="205"/>
      <c r="S8" s="205"/>
      <c r="T8" s="205"/>
      <c r="U8" s="205"/>
      <c r="V8" s="205"/>
      <c r="W8" s="206"/>
      <c r="X8" s="23"/>
      <c r="Y8" s="44"/>
      <c r="Z8" s="45"/>
      <c r="AA8" s="46"/>
      <c r="AB8" s="23"/>
      <c r="AC8" s="63" t="s">
        <v>43</v>
      </c>
    </row>
    <row r="9" spans="1:29" ht="17.100000000000001" customHeight="1">
      <c r="B9" s="24">
        <f t="shared" ref="B9:B35" si="1">B8+1</f>
        <v>43892</v>
      </c>
      <c r="C9" s="25">
        <f t="shared" si="0"/>
        <v>43892</v>
      </c>
      <c r="D9" s="19"/>
      <c r="E9" s="58"/>
      <c r="F9" s="59"/>
      <c r="G9" s="59"/>
      <c r="H9" s="186">
        <v>0.41666666666666669</v>
      </c>
      <c r="I9" s="187"/>
      <c r="J9" s="188" t="s">
        <v>72</v>
      </c>
      <c r="K9" s="189"/>
      <c r="L9" s="92">
        <v>0.75</v>
      </c>
      <c r="M9" s="53">
        <f t="shared" ref="M9:M38" si="2">IF(H9="","",HOUR(L9-H9-N9)+MINUTE(L9-H9-N9)/60)</f>
        <v>7</v>
      </c>
      <c r="N9" s="52">
        <v>4.1666666666666664E-2</v>
      </c>
      <c r="O9" s="183"/>
      <c r="P9" s="184"/>
      <c r="Q9" s="184"/>
      <c r="R9" s="184"/>
      <c r="S9" s="184"/>
      <c r="T9" s="184"/>
      <c r="U9" s="184"/>
      <c r="V9" s="184"/>
      <c r="W9" s="185"/>
      <c r="X9" s="23"/>
      <c r="Y9" s="26"/>
      <c r="Z9" s="27"/>
      <c r="AA9" s="28"/>
      <c r="AB9" s="23"/>
      <c r="AC9" s="63" t="s">
        <v>44</v>
      </c>
    </row>
    <row r="10" spans="1:29" ht="17.100000000000001" customHeight="1">
      <c r="B10" s="24">
        <f t="shared" si="1"/>
        <v>43893</v>
      </c>
      <c r="C10" s="25">
        <f t="shared" si="0"/>
        <v>43893</v>
      </c>
      <c r="D10" s="19"/>
      <c r="E10" s="58"/>
      <c r="F10" s="59"/>
      <c r="G10" s="59"/>
      <c r="H10" s="186">
        <v>0.45833333333333331</v>
      </c>
      <c r="I10" s="187"/>
      <c r="J10" s="188" t="s">
        <v>72</v>
      </c>
      <c r="K10" s="189"/>
      <c r="L10" s="84">
        <v>0.79166666666666663</v>
      </c>
      <c r="M10" s="53">
        <f>IF(H10="","",HOUR(L10-H10-N10)+MINUTE(L10-H10-N10)/60)</f>
        <v>7</v>
      </c>
      <c r="N10" s="52">
        <v>4.1666666666666664E-2</v>
      </c>
      <c r="O10" s="183"/>
      <c r="P10" s="184"/>
      <c r="Q10" s="184"/>
      <c r="R10" s="184"/>
      <c r="S10" s="184"/>
      <c r="T10" s="184"/>
      <c r="U10" s="184"/>
      <c r="V10" s="184"/>
      <c r="W10" s="185"/>
      <c r="X10" s="23"/>
      <c r="Y10" s="26"/>
      <c r="Z10" s="27"/>
      <c r="AA10" s="28"/>
      <c r="AB10" s="23"/>
      <c r="AC10" s="63" t="s">
        <v>74</v>
      </c>
    </row>
    <row r="11" spans="1:29" ht="17.100000000000001" customHeight="1">
      <c r="B11" s="24">
        <f t="shared" si="1"/>
        <v>43894</v>
      </c>
      <c r="C11" s="25">
        <f t="shared" si="0"/>
        <v>43894</v>
      </c>
      <c r="D11" s="19"/>
      <c r="E11" s="58"/>
      <c r="F11" s="59"/>
      <c r="G11" s="59"/>
      <c r="H11" s="186">
        <v>0.45833333333333331</v>
      </c>
      <c r="I11" s="187"/>
      <c r="J11" s="188" t="s">
        <v>72</v>
      </c>
      <c r="K11" s="189"/>
      <c r="L11" s="93">
        <v>0.79166666666666663</v>
      </c>
      <c r="M11" s="53">
        <f t="shared" si="2"/>
        <v>7</v>
      </c>
      <c r="N11" s="52">
        <v>4.1666666666666664E-2</v>
      </c>
      <c r="O11" s="183"/>
      <c r="P11" s="184"/>
      <c r="Q11" s="184"/>
      <c r="R11" s="184"/>
      <c r="S11" s="184"/>
      <c r="T11" s="184"/>
      <c r="U11" s="184"/>
      <c r="V11" s="184"/>
      <c r="W11" s="185"/>
      <c r="X11" s="23"/>
      <c r="Y11" s="26"/>
      <c r="Z11" s="27"/>
      <c r="AA11" s="28"/>
      <c r="AB11" s="23"/>
      <c r="AC11" s="63" t="s">
        <v>35</v>
      </c>
    </row>
    <row r="12" spans="1:29" ht="17.100000000000001" customHeight="1">
      <c r="B12" s="24">
        <f t="shared" si="1"/>
        <v>43895</v>
      </c>
      <c r="C12" s="25">
        <f t="shared" si="0"/>
        <v>43895</v>
      </c>
      <c r="D12" s="19"/>
      <c r="E12" s="58"/>
      <c r="F12" s="60"/>
      <c r="G12" s="59"/>
      <c r="H12" s="186">
        <v>0.45833333333333331</v>
      </c>
      <c r="I12" s="187"/>
      <c r="J12" s="188" t="s">
        <v>72</v>
      </c>
      <c r="K12" s="189"/>
      <c r="L12" s="93">
        <v>0.79166666666666663</v>
      </c>
      <c r="M12" s="53">
        <f t="shared" si="2"/>
        <v>7</v>
      </c>
      <c r="N12" s="52">
        <v>4.1666666666666664E-2</v>
      </c>
      <c r="O12" s="183"/>
      <c r="P12" s="184"/>
      <c r="Q12" s="184"/>
      <c r="R12" s="184"/>
      <c r="S12" s="184"/>
      <c r="T12" s="184"/>
      <c r="U12" s="184"/>
      <c r="V12" s="184"/>
      <c r="W12" s="185"/>
      <c r="X12" s="23"/>
      <c r="Y12" s="26"/>
      <c r="Z12" s="27"/>
      <c r="AA12" s="28"/>
      <c r="AB12" s="23"/>
      <c r="AC12" s="63" t="s">
        <v>36</v>
      </c>
    </row>
    <row r="13" spans="1:29" ht="17.100000000000001" customHeight="1">
      <c r="B13" s="24">
        <f t="shared" si="1"/>
        <v>43896</v>
      </c>
      <c r="C13" s="25">
        <f t="shared" si="0"/>
        <v>43896</v>
      </c>
      <c r="D13" s="19"/>
      <c r="E13" s="58"/>
      <c r="F13" s="60"/>
      <c r="G13" s="59"/>
      <c r="H13" s="186">
        <v>0.45833333333333331</v>
      </c>
      <c r="I13" s="187"/>
      <c r="J13" s="188" t="s">
        <v>72</v>
      </c>
      <c r="K13" s="189"/>
      <c r="L13" s="85">
        <v>0.79166666666666663</v>
      </c>
      <c r="M13" s="53">
        <f t="shared" si="2"/>
        <v>7</v>
      </c>
      <c r="N13" s="52">
        <v>4.1666666666666664E-2</v>
      </c>
      <c r="O13" s="183"/>
      <c r="P13" s="184"/>
      <c r="Q13" s="184"/>
      <c r="R13" s="184"/>
      <c r="S13" s="184"/>
      <c r="T13" s="184"/>
      <c r="U13" s="184"/>
      <c r="V13" s="184"/>
      <c r="W13" s="185"/>
      <c r="X13" s="23"/>
      <c r="Y13" s="26"/>
      <c r="Z13" s="27"/>
      <c r="AA13" s="28"/>
      <c r="AB13" s="23"/>
      <c r="AC13" s="63" t="s">
        <v>39</v>
      </c>
    </row>
    <row r="14" spans="1:29" ht="17.100000000000001" customHeight="1">
      <c r="B14" s="24">
        <f t="shared" si="1"/>
        <v>43897</v>
      </c>
      <c r="C14" s="25">
        <f t="shared" si="0"/>
        <v>43897</v>
      </c>
      <c r="D14" s="19"/>
      <c r="E14" s="58"/>
      <c r="F14" s="60"/>
      <c r="G14" s="59"/>
      <c r="H14" s="186"/>
      <c r="I14" s="187"/>
      <c r="J14" s="188" t="s">
        <v>72</v>
      </c>
      <c r="K14" s="189"/>
      <c r="L14" s="88"/>
      <c r="M14" s="53" t="str">
        <f t="shared" ref="M14" si="3">IF(H14="","",HOUR(L14-H14-N14)+MINUTE(L14-H14-N14)/60)</f>
        <v/>
      </c>
      <c r="N14" s="52"/>
      <c r="O14" s="183"/>
      <c r="P14" s="184"/>
      <c r="Q14" s="184"/>
      <c r="R14" s="184"/>
      <c r="S14" s="184"/>
      <c r="T14" s="184"/>
      <c r="U14" s="184"/>
      <c r="V14" s="184"/>
      <c r="W14" s="185"/>
      <c r="X14" s="23"/>
      <c r="Y14" s="26"/>
      <c r="Z14" s="27"/>
      <c r="AA14" s="28"/>
      <c r="AB14" s="23"/>
      <c r="AC14" s="64" t="s">
        <v>40</v>
      </c>
    </row>
    <row r="15" spans="1:29" ht="17.100000000000001" customHeight="1">
      <c r="B15" s="24">
        <f t="shared" si="1"/>
        <v>43898</v>
      </c>
      <c r="C15" s="25">
        <f t="shared" si="0"/>
        <v>43898</v>
      </c>
      <c r="D15" s="19"/>
      <c r="E15" s="58"/>
      <c r="F15" s="60"/>
      <c r="G15" s="59"/>
      <c r="H15" s="186"/>
      <c r="I15" s="187"/>
      <c r="J15" s="188" t="s">
        <v>72</v>
      </c>
      <c r="K15" s="189"/>
      <c r="L15" s="80"/>
      <c r="M15" s="53" t="str">
        <f t="shared" si="2"/>
        <v/>
      </c>
      <c r="N15" s="52"/>
      <c r="O15" s="183"/>
      <c r="P15" s="184"/>
      <c r="Q15" s="184"/>
      <c r="R15" s="184"/>
      <c r="S15" s="184"/>
      <c r="T15" s="184"/>
      <c r="U15" s="184"/>
      <c r="V15" s="184"/>
      <c r="W15" s="185"/>
      <c r="X15" s="23"/>
      <c r="Y15" s="26"/>
      <c r="Z15" s="27"/>
      <c r="AA15" s="28"/>
      <c r="AB15" s="23"/>
      <c r="AC15" s="64" t="s">
        <v>30</v>
      </c>
    </row>
    <row r="16" spans="1:29" ht="17.100000000000001" customHeight="1">
      <c r="B16" s="24">
        <f t="shared" si="1"/>
        <v>43899</v>
      </c>
      <c r="C16" s="25">
        <f t="shared" si="0"/>
        <v>43899</v>
      </c>
      <c r="D16" s="19"/>
      <c r="E16" s="58"/>
      <c r="F16" s="59"/>
      <c r="G16" s="59"/>
      <c r="H16" s="186">
        <v>0.45833333333333331</v>
      </c>
      <c r="I16" s="187"/>
      <c r="J16" s="188" t="s">
        <v>72</v>
      </c>
      <c r="K16" s="189"/>
      <c r="L16" s="93">
        <v>0.79166666666666663</v>
      </c>
      <c r="M16" s="53">
        <f t="shared" si="2"/>
        <v>7</v>
      </c>
      <c r="N16" s="52">
        <v>4.1666666666666664E-2</v>
      </c>
      <c r="O16" s="183"/>
      <c r="P16" s="184"/>
      <c r="Q16" s="184"/>
      <c r="R16" s="184"/>
      <c r="S16" s="184"/>
      <c r="T16" s="184"/>
      <c r="U16" s="184"/>
      <c r="V16" s="184"/>
      <c r="W16" s="185"/>
      <c r="X16" s="23"/>
      <c r="Y16" s="26"/>
      <c r="Z16" s="27"/>
      <c r="AA16" s="28"/>
      <c r="AB16" s="23"/>
      <c r="AC16" s="64" t="s">
        <v>33</v>
      </c>
    </row>
    <row r="17" spans="2:29" ht="17.100000000000001" customHeight="1">
      <c r="B17" s="24">
        <f t="shared" si="1"/>
        <v>43900</v>
      </c>
      <c r="C17" s="25">
        <f t="shared" si="0"/>
        <v>43900</v>
      </c>
      <c r="D17" s="19"/>
      <c r="E17" s="58"/>
      <c r="F17" s="59"/>
      <c r="G17" s="59"/>
      <c r="H17" s="186">
        <v>0.45833333333333331</v>
      </c>
      <c r="I17" s="187"/>
      <c r="J17" s="188" t="s">
        <v>72</v>
      </c>
      <c r="K17" s="189"/>
      <c r="L17" s="96">
        <v>0.77083333333333337</v>
      </c>
      <c r="M17" s="53">
        <f t="shared" si="2"/>
        <v>6.5</v>
      </c>
      <c r="N17" s="52">
        <v>4.1666666666666664E-2</v>
      </c>
      <c r="O17" s="183"/>
      <c r="P17" s="184"/>
      <c r="Q17" s="184"/>
      <c r="R17" s="184"/>
      <c r="S17" s="184"/>
      <c r="T17" s="184"/>
      <c r="U17" s="184"/>
      <c r="V17" s="184"/>
      <c r="W17" s="185"/>
      <c r="X17" s="23"/>
      <c r="Y17" s="26"/>
      <c r="Z17" s="27"/>
      <c r="AA17" s="28"/>
      <c r="AB17" s="23"/>
      <c r="AC17" s="64" t="s">
        <v>34</v>
      </c>
    </row>
    <row r="18" spans="2:29" ht="17.100000000000001" customHeight="1">
      <c r="B18" s="24">
        <f t="shared" si="1"/>
        <v>43901</v>
      </c>
      <c r="C18" s="25">
        <f t="shared" si="0"/>
        <v>43901</v>
      </c>
      <c r="D18" s="19"/>
      <c r="E18" s="58"/>
      <c r="F18" s="61"/>
      <c r="G18" s="59"/>
      <c r="H18" s="186">
        <v>0.45833333333333331</v>
      </c>
      <c r="I18" s="187"/>
      <c r="J18" s="188" t="s">
        <v>72</v>
      </c>
      <c r="K18" s="189"/>
      <c r="L18" s="93">
        <v>0.72916666666666663</v>
      </c>
      <c r="M18" s="53">
        <f t="shared" si="2"/>
        <v>5.5</v>
      </c>
      <c r="N18" s="52">
        <v>4.1666666666666664E-2</v>
      </c>
      <c r="O18" s="183"/>
      <c r="P18" s="184"/>
      <c r="Q18" s="184"/>
      <c r="R18" s="184"/>
      <c r="S18" s="184"/>
      <c r="T18" s="184"/>
      <c r="U18" s="184"/>
      <c r="V18" s="184"/>
      <c r="W18" s="185"/>
      <c r="X18" s="23"/>
      <c r="Y18" s="26"/>
      <c r="Z18" s="27"/>
      <c r="AA18" s="28"/>
      <c r="AB18" s="23"/>
      <c r="AC18" s="63" t="s">
        <v>37</v>
      </c>
    </row>
    <row r="19" spans="2:29" ht="17.100000000000001" customHeight="1">
      <c r="B19" s="24">
        <f t="shared" si="1"/>
        <v>43902</v>
      </c>
      <c r="C19" s="25">
        <f t="shared" si="0"/>
        <v>43902</v>
      </c>
      <c r="D19" s="19"/>
      <c r="E19" s="58"/>
      <c r="F19" s="60"/>
      <c r="G19" s="59"/>
      <c r="H19" s="186">
        <v>0.45833333333333331</v>
      </c>
      <c r="I19" s="187"/>
      <c r="J19" s="188" t="s">
        <v>72</v>
      </c>
      <c r="K19" s="189"/>
      <c r="L19" s="93">
        <v>0.79166666666666663</v>
      </c>
      <c r="M19" s="53">
        <f t="shared" si="2"/>
        <v>7</v>
      </c>
      <c r="N19" s="52">
        <v>4.1666666666666664E-2</v>
      </c>
      <c r="O19" s="183"/>
      <c r="P19" s="184"/>
      <c r="Q19" s="184"/>
      <c r="R19" s="184"/>
      <c r="S19" s="184"/>
      <c r="T19" s="184"/>
      <c r="U19" s="184"/>
      <c r="V19" s="184"/>
      <c r="W19" s="185"/>
      <c r="X19" s="23"/>
      <c r="Y19" s="26"/>
      <c r="Z19" s="27"/>
      <c r="AA19" s="28"/>
      <c r="AB19" s="23"/>
      <c r="AC19" s="63" t="s">
        <v>45</v>
      </c>
    </row>
    <row r="20" spans="2:29" ht="17.100000000000001" customHeight="1">
      <c r="B20" s="24">
        <f t="shared" si="1"/>
        <v>43903</v>
      </c>
      <c r="C20" s="25">
        <f t="shared" si="0"/>
        <v>43903</v>
      </c>
      <c r="D20" s="19"/>
      <c r="E20" s="58"/>
      <c r="F20" s="61"/>
      <c r="G20" s="59"/>
      <c r="H20" s="186">
        <v>0.45833333333333331</v>
      </c>
      <c r="I20" s="187"/>
      <c r="J20" s="188" t="s">
        <v>72</v>
      </c>
      <c r="K20" s="189"/>
      <c r="L20" s="87">
        <v>0.79166666666666663</v>
      </c>
      <c r="M20" s="53">
        <f t="shared" si="2"/>
        <v>7</v>
      </c>
      <c r="N20" s="52">
        <v>4.1666666666666664E-2</v>
      </c>
      <c r="O20" s="183"/>
      <c r="P20" s="184"/>
      <c r="Q20" s="184"/>
      <c r="R20" s="184"/>
      <c r="S20" s="184"/>
      <c r="T20" s="184"/>
      <c r="U20" s="184"/>
      <c r="V20" s="184"/>
      <c r="W20" s="185"/>
      <c r="X20" s="23"/>
      <c r="Y20" s="26"/>
      <c r="Z20" s="27"/>
      <c r="AA20" s="28"/>
      <c r="AB20" s="23"/>
      <c r="AC20" s="63" t="s">
        <v>38</v>
      </c>
    </row>
    <row r="21" spans="2:29" ht="17.100000000000001" customHeight="1">
      <c r="B21" s="24">
        <f t="shared" si="1"/>
        <v>43904</v>
      </c>
      <c r="C21" s="25">
        <f t="shared" si="0"/>
        <v>43904</v>
      </c>
      <c r="D21" s="19"/>
      <c r="E21" s="58"/>
      <c r="F21" s="60"/>
      <c r="G21" s="59"/>
      <c r="H21" s="186"/>
      <c r="I21" s="187"/>
      <c r="J21" s="188" t="s">
        <v>72</v>
      </c>
      <c r="K21" s="189"/>
      <c r="L21" s="86"/>
      <c r="M21" s="53" t="str">
        <f t="shared" si="2"/>
        <v/>
      </c>
      <c r="N21" s="52"/>
      <c r="O21" s="183"/>
      <c r="P21" s="184"/>
      <c r="Q21" s="184"/>
      <c r="R21" s="184"/>
      <c r="S21" s="184"/>
      <c r="T21" s="184"/>
      <c r="U21" s="184"/>
      <c r="V21" s="184"/>
      <c r="W21" s="185"/>
      <c r="X21" s="23"/>
      <c r="Y21" s="26"/>
      <c r="Z21" s="27"/>
      <c r="AA21" s="28"/>
      <c r="AB21" s="23"/>
      <c r="AC21" s="63" t="s">
        <v>31</v>
      </c>
    </row>
    <row r="22" spans="2:29" ht="17.100000000000001" customHeight="1">
      <c r="B22" s="24">
        <f t="shared" si="1"/>
        <v>43905</v>
      </c>
      <c r="C22" s="25">
        <f t="shared" si="0"/>
        <v>43905</v>
      </c>
      <c r="D22" s="19"/>
      <c r="E22" s="58"/>
      <c r="F22" s="60"/>
      <c r="G22" s="59"/>
      <c r="H22" s="186"/>
      <c r="I22" s="187"/>
      <c r="J22" s="188" t="s">
        <v>72</v>
      </c>
      <c r="K22" s="189"/>
      <c r="L22" s="81"/>
      <c r="M22" s="53"/>
      <c r="N22" s="52"/>
      <c r="O22" s="183"/>
      <c r="P22" s="184"/>
      <c r="Q22" s="184"/>
      <c r="R22" s="184"/>
      <c r="S22" s="184"/>
      <c r="T22" s="184"/>
      <c r="U22" s="184"/>
      <c r="V22" s="184"/>
      <c r="W22" s="185"/>
      <c r="X22" s="23"/>
      <c r="Y22" s="26"/>
      <c r="Z22" s="27"/>
      <c r="AA22" s="28"/>
      <c r="AB22" s="23"/>
      <c r="AC22" s="63" t="s">
        <v>32</v>
      </c>
    </row>
    <row r="23" spans="2:29" ht="17.100000000000001" customHeight="1">
      <c r="B23" s="24">
        <f t="shared" si="1"/>
        <v>43906</v>
      </c>
      <c r="C23" s="25">
        <f t="shared" si="0"/>
        <v>43906</v>
      </c>
      <c r="D23" s="19"/>
      <c r="E23" s="58"/>
      <c r="F23" s="60"/>
      <c r="G23" s="59"/>
      <c r="H23" s="186">
        <v>0.45833333333333331</v>
      </c>
      <c r="I23" s="187"/>
      <c r="J23" s="188" t="s">
        <v>72</v>
      </c>
      <c r="K23" s="189"/>
      <c r="L23" s="93">
        <v>0.75</v>
      </c>
      <c r="M23" s="53">
        <f t="shared" si="2"/>
        <v>6</v>
      </c>
      <c r="N23" s="52">
        <v>4.1666666666666664E-2</v>
      </c>
      <c r="O23" s="183"/>
      <c r="P23" s="184"/>
      <c r="Q23" s="184"/>
      <c r="R23" s="184"/>
      <c r="S23" s="184"/>
      <c r="T23" s="184"/>
      <c r="U23" s="184"/>
      <c r="V23" s="184"/>
      <c r="W23" s="185"/>
      <c r="X23" s="23"/>
      <c r="Y23" s="26"/>
      <c r="Z23" s="27"/>
      <c r="AA23" s="28"/>
      <c r="AB23" s="23"/>
      <c r="AC23" s="63" t="s">
        <v>102</v>
      </c>
    </row>
    <row r="24" spans="2:29" ht="17.100000000000001" customHeight="1">
      <c r="B24" s="24">
        <f t="shared" si="1"/>
        <v>43907</v>
      </c>
      <c r="C24" s="25">
        <f t="shared" si="0"/>
        <v>43907</v>
      </c>
      <c r="D24" s="19"/>
      <c r="E24" s="58"/>
      <c r="F24" s="60"/>
      <c r="G24" s="59"/>
      <c r="H24" s="186">
        <v>0.41666666666666669</v>
      </c>
      <c r="I24" s="187"/>
      <c r="J24" s="188" t="s">
        <v>72</v>
      </c>
      <c r="K24" s="189"/>
      <c r="L24" s="93">
        <v>0.58333333333333337</v>
      </c>
      <c r="M24" s="53">
        <f t="shared" si="2"/>
        <v>3</v>
      </c>
      <c r="N24" s="52">
        <v>4.1666666666666664E-2</v>
      </c>
      <c r="O24" s="183"/>
      <c r="P24" s="184"/>
      <c r="Q24" s="184"/>
      <c r="R24" s="184"/>
      <c r="S24" s="184"/>
      <c r="T24" s="184"/>
      <c r="U24" s="184"/>
      <c r="V24" s="184"/>
      <c r="W24" s="185"/>
      <c r="X24" s="23"/>
      <c r="Y24" s="26"/>
      <c r="Z24" s="27"/>
      <c r="AA24" s="28"/>
      <c r="AB24" s="23"/>
      <c r="AC24" s="63" t="s">
        <v>46</v>
      </c>
    </row>
    <row r="25" spans="2:29" ht="17.100000000000001" customHeight="1">
      <c r="B25" s="24">
        <f t="shared" si="1"/>
        <v>43908</v>
      </c>
      <c r="C25" s="25">
        <f t="shared" si="0"/>
        <v>43908</v>
      </c>
      <c r="D25" s="19"/>
      <c r="E25" s="58"/>
      <c r="F25" s="60"/>
      <c r="G25" s="59"/>
      <c r="H25" s="186">
        <v>0.45833333333333331</v>
      </c>
      <c r="I25" s="187"/>
      <c r="J25" s="188" t="s">
        <v>72</v>
      </c>
      <c r="K25" s="189"/>
      <c r="L25" s="93">
        <v>0.79166666666666663</v>
      </c>
      <c r="M25" s="53">
        <f t="shared" si="2"/>
        <v>7</v>
      </c>
      <c r="N25" s="52">
        <v>4.1666666666666664E-2</v>
      </c>
      <c r="O25" s="183"/>
      <c r="P25" s="184"/>
      <c r="Q25" s="184"/>
      <c r="R25" s="184"/>
      <c r="S25" s="184"/>
      <c r="T25" s="184"/>
      <c r="U25" s="184"/>
      <c r="V25" s="184"/>
      <c r="W25" s="185"/>
      <c r="X25" s="23"/>
      <c r="Y25" s="26"/>
      <c r="Z25" s="27"/>
      <c r="AA25" s="28"/>
      <c r="AB25" s="23"/>
      <c r="AC25" s="63" t="s">
        <v>103</v>
      </c>
    </row>
    <row r="26" spans="2:29" ht="17.100000000000001" customHeight="1">
      <c r="B26" s="24">
        <f t="shared" si="1"/>
        <v>43909</v>
      </c>
      <c r="C26" s="25">
        <f t="shared" si="0"/>
        <v>43909</v>
      </c>
      <c r="D26" s="19"/>
      <c r="E26" s="58"/>
      <c r="F26" s="60"/>
      <c r="G26" s="59"/>
      <c r="H26" s="186">
        <v>0.45833333333333331</v>
      </c>
      <c r="I26" s="187"/>
      <c r="J26" s="188" t="s">
        <v>72</v>
      </c>
      <c r="K26" s="189"/>
      <c r="L26" s="93">
        <v>0.8125</v>
      </c>
      <c r="M26" s="53">
        <f t="shared" si="2"/>
        <v>7.5</v>
      </c>
      <c r="N26" s="52">
        <v>4.1666666666666664E-2</v>
      </c>
      <c r="O26" s="183"/>
      <c r="P26" s="184"/>
      <c r="Q26" s="184"/>
      <c r="R26" s="184"/>
      <c r="S26" s="184"/>
      <c r="T26" s="184"/>
      <c r="U26" s="184"/>
      <c r="V26" s="184"/>
      <c r="W26" s="185"/>
      <c r="X26" s="23"/>
      <c r="Y26" s="26"/>
      <c r="Z26" s="27"/>
      <c r="AA26" s="28"/>
      <c r="AB26" s="23"/>
      <c r="AC26" s="63" t="s">
        <v>75</v>
      </c>
    </row>
    <row r="27" spans="2:29" ht="17.100000000000001" customHeight="1" thickBot="1">
      <c r="B27" s="24">
        <f t="shared" si="1"/>
        <v>43910</v>
      </c>
      <c r="C27" s="25">
        <f t="shared" si="0"/>
        <v>43910</v>
      </c>
      <c r="D27" s="19"/>
      <c r="E27" s="58"/>
      <c r="F27" s="59"/>
      <c r="G27" s="59"/>
      <c r="H27" s="186"/>
      <c r="I27" s="187"/>
      <c r="J27" s="188" t="s">
        <v>72</v>
      </c>
      <c r="K27" s="189"/>
      <c r="L27" s="88"/>
      <c r="M27" s="53"/>
      <c r="N27" s="52"/>
      <c r="O27" s="183"/>
      <c r="P27" s="184"/>
      <c r="Q27" s="184"/>
      <c r="R27" s="184"/>
      <c r="S27" s="184"/>
      <c r="T27" s="184"/>
      <c r="U27" s="184"/>
      <c r="V27" s="184"/>
      <c r="W27" s="185"/>
      <c r="X27" s="23"/>
      <c r="Y27" s="26"/>
      <c r="Z27" s="27"/>
      <c r="AA27" s="28"/>
      <c r="AB27" s="23"/>
      <c r="AC27" s="65" t="s">
        <v>76</v>
      </c>
    </row>
    <row r="28" spans="2:29" ht="17.100000000000001" customHeight="1">
      <c r="B28" s="24">
        <f t="shared" si="1"/>
        <v>43911</v>
      </c>
      <c r="C28" s="25">
        <f t="shared" si="0"/>
        <v>43911</v>
      </c>
      <c r="D28" s="19"/>
      <c r="E28" s="58"/>
      <c r="F28" s="59"/>
      <c r="G28" s="59"/>
      <c r="H28" s="186"/>
      <c r="I28" s="187"/>
      <c r="J28" s="188" t="s">
        <v>72</v>
      </c>
      <c r="K28" s="189"/>
      <c r="L28" s="89"/>
      <c r="M28" s="53" t="str">
        <f t="shared" si="2"/>
        <v/>
      </c>
      <c r="N28" s="52"/>
      <c r="O28" s="183"/>
      <c r="P28" s="190"/>
      <c r="Q28" s="190"/>
      <c r="R28" s="190"/>
      <c r="S28" s="190"/>
      <c r="T28" s="190"/>
      <c r="U28" s="190"/>
      <c r="V28" s="190"/>
      <c r="W28" s="191"/>
      <c r="X28" s="23"/>
      <c r="Y28" s="26"/>
      <c r="Z28" s="27"/>
      <c r="AA28" s="28"/>
      <c r="AB28" s="23"/>
    </row>
    <row r="29" spans="2:29" ht="17.100000000000001" customHeight="1">
      <c r="B29" s="24">
        <f t="shared" si="1"/>
        <v>43912</v>
      </c>
      <c r="C29" s="25">
        <f t="shared" si="0"/>
        <v>43912</v>
      </c>
      <c r="D29" s="19"/>
      <c r="E29" s="58"/>
      <c r="F29" s="59"/>
      <c r="G29" s="59"/>
      <c r="H29" s="186"/>
      <c r="I29" s="187"/>
      <c r="J29" s="188" t="s">
        <v>72</v>
      </c>
      <c r="K29" s="189"/>
      <c r="L29" s="82"/>
      <c r="M29" s="53" t="str">
        <f t="shared" si="2"/>
        <v/>
      </c>
      <c r="N29" s="52"/>
      <c r="O29" s="183"/>
      <c r="P29" s="184"/>
      <c r="Q29" s="184"/>
      <c r="R29" s="184"/>
      <c r="S29" s="184"/>
      <c r="T29" s="184"/>
      <c r="U29" s="184"/>
      <c r="V29" s="184"/>
      <c r="W29" s="185"/>
      <c r="X29" s="23"/>
      <c r="Y29" s="26"/>
      <c r="Z29" s="27"/>
      <c r="AA29" s="28"/>
      <c r="AB29" s="23"/>
    </row>
    <row r="30" spans="2:29" ht="17.100000000000001" customHeight="1">
      <c r="B30" s="24">
        <f t="shared" si="1"/>
        <v>43913</v>
      </c>
      <c r="C30" s="25">
        <f t="shared" si="0"/>
        <v>43913</v>
      </c>
      <c r="D30" s="19"/>
      <c r="E30" s="58"/>
      <c r="F30" s="60"/>
      <c r="G30" s="59"/>
      <c r="H30" s="186">
        <v>0.45833333333333331</v>
      </c>
      <c r="I30" s="187"/>
      <c r="J30" s="188" t="s">
        <v>72</v>
      </c>
      <c r="K30" s="189"/>
      <c r="L30" s="93">
        <v>0.8125</v>
      </c>
      <c r="M30" s="53">
        <f>IF(H30="","",HOUR(L30-H30-N30)+MINUTE(L30-H30-N30)/60)</f>
        <v>7.5</v>
      </c>
      <c r="N30" s="52">
        <v>4.1666666666666664E-2</v>
      </c>
      <c r="O30" s="183"/>
      <c r="P30" s="184"/>
      <c r="Q30" s="184"/>
      <c r="R30" s="184"/>
      <c r="S30" s="184"/>
      <c r="T30" s="184"/>
      <c r="U30" s="184"/>
      <c r="V30" s="184"/>
      <c r="W30" s="185"/>
      <c r="X30" s="23"/>
      <c r="Y30" s="26"/>
      <c r="Z30" s="27"/>
      <c r="AA30" s="28"/>
      <c r="AB30" s="23"/>
    </row>
    <row r="31" spans="2:29" ht="17.100000000000001" customHeight="1">
      <c r="B31" s="24">
        <f t="shared" si="1"/>
        <v>43914</v>
      </c>
      <c r="C31" s="25">
        <f t="shared" si="0"/>
        <v>43914</v>
      </c>
      <c r="D31" s="19"/>
      <c r="E31" s="58"/>
      <c r="F31" s="60"/>
      <c r="G31" s="59"/>
      <c r="H31" s="186">
        <v>0.45833333333333331</v>
      </c>
      <c r="I31" s="187"/>
      <c r="J31" s="188" t="s">
        <v>72</v>
      </c>
      <c r="K31" s="189"/>
      <c r="L31" s="93">
        <v>0.77083333333333337</v>
      </c>
      <c r="M31" s="53">
        <f t="shared" si="2"/>
        <v>6.5</v>
      </c>
      <c r="N31" s="52">
        <v>4.1666666666666664E-2</v>
      </c>
      <c r="O31" s="183"/>
      <c r="P31" s="184"/>
      <c r="Q31" s="184"/>
      <c r="R31" s="184"/>
      <c r="S31" s="184"/>
      <c r="T31" s="184"/>
      <c r="U31" s="184"/>
      <c r="V31" s="184"/>
      <c r="W31" s="185"/>
      <c r="X31" s="23"/>
      <c r="Y31" s="26"/>
      <c r="Z31" s="27"/>
      <c r="AA31" s="28"/>
      <c r="AB31" s="23"/>
    </row>
    <row r="32" spans="2:29" ht="17.100000000000001" customHeight="1">
      <c r="B32" s="24">
        <f t="shared" si="1"/>
        <v>43915</v>
      </c>
      <c r="C32" s="25">
        <f t="shared" si="0"/>
        <v>43915</v>
      </c>
      <c r="D32" s="19"/>
      <c r="E32" s="58"/>
      <c r="F32" s="60"/>
      <c r="G32" s="59"/>
      <c r="H32" s="186">
        <v>0.45833333333333331</v>
      </c>
      <c r="I32" s="187"/>
      <c r="J32" s="188" t="s">
        <v>72</v>
      </c>
      <c r="K32" s="189"/>
      <c r="L32" s="90">
        <v>0.79166666666666663</v>
      </c>
      <c r="M32" s="53">
        <f t="shared" ref="M32:M37" si="4">IF(H32="","",HOUR(L32-H32-N32)+MINUTE(L32-H32-N32)/60)</f>
        <v>7</v>
      </c>
      <c r="N32" s="52">
        <v>4.1666666666666664E-2</v>
      </c>
      <c r="O32" s="183"/>
      <c r="P32" s="184"/>
      <c r="Q32" s="184"/>
      <c r="R32" s="184"/>
      <c r="S32" s="184"/>
      <c r="T32" s="184"/>
      <c r="U32" s="184"/>
      <c r="V32" s="184"/>
      <c r="W32" s="185"/>
      <c r="X32" s="23"/>
      <c r="Y32" s="26"/>
      <c r="Z32" s="27"/>
      <c r="AA32" s="28"/>
      <c r="AB32" s="23"/>
    </row>
    <row r="33" spans="2:28" ht="17.100000000000001" customHeight="1">
      <c r="B33" s="24">
        <f t="shared" si="1"/>
        <v>43916</v>
      </c>
      <c r="C33" s="25">
        <f t="shared" si="0"/>
        <v>43916</v>
      </c>
      <c r="D33" s="19"/>
      <c r="E33" s="58"/>
      <c r="F33" s="60"/>
      <c r="G33" s="59"/>
      <c r="H33" s="186">
        <v>0.45833333333333331</v>
      </c>
      <c r="I33" s="187"/>
      <c r="J33" s="188" t="s">
        <v>72</v>
      </c>
      <c r="K33" s="189"/>
      <c r="L33" s="91">
        <v>0.79166666666666663</v>
      </c>
      <c r="M33" s="53">
        <f t="shared" si="4"/>
        <v>7</v>
      </c>
      <c r="N33" s="52">
        <v>4.1666666666666664E-2</v>
      </c>
      <c r="O33" s="183"/>
      <c r="P33" s="184"/>
      <c r="Q33" s="184"/>
      <c r="R33" s="184"/>
      <c r="S33" s="184"/>
      <c r="T33" s="184"/>
      <c r="U33" s="184"/>
      <c r="V33" s="184"/>
      <c r="W33" s="185"/>
      <c r="X33" s="23"/>
      <c r="Y33" s="26"/>
      <c r="Z33" s="27"/>
      <c r="AA33" s="28"/>
      <c r="AB33" s="23"/>
    </row>
    <row r="34" spans="2:28" ht="16.5" customHeight="1">
      <c r="B34" s="24">
        <f t="shared" si="1"/>
        <v>43917</v>
      </c>
      <c r="C34" s="25">
        <f t="shared" si="0"/>
        <v>43917</v>
      </c>
      <c r="D34" s="19"/>
      <c r="E34" s="58"/>
      <c r="F34" s="60"/>
      <c r="G34" s="59"/>
      <c r="H34" s="186">
        <v>0.45833333333333331</v>
      </c>
      <c r="I34" s="187"/>
      <c r="J34" s="188" t="s">
        <v>72</v>
      </c>
      <c r="K34" s="189"/>
      <c r="L34" s="93">
        <v>0.79166666666666663</v>
      </c>
      <c r="M34" s="53">
        <f t="shared" si="4"/>
        <v>7</v>
      </c>
      <c r="N34" s="52">
        <v>4.1666666666666664E-2</v>
      </c>
      <c r="O34" s="183"/>
      <c r="P34" s="184"/>
      <c r="Q34" s="184"/>
      <c r="R34" s="184"/>
      <c r="S34" s="184"/>
      <c r="T34" s="184"/>
      <c r="U34" s="184"/>
      <c r="V34" s="184"/>
      <c r="W34" s="185"/>
      <c r="X34" s="23"/>
      <c r="Y34" s="26"/>
      <c r="Z34" s="27"/>
      <c r="AA34" s="28"/>
      <c r="AB34" s="23"/>
    </row>
    <row r="35" spans="2:28" ht="17.100000000000001" customHeight="1">
      <c r="B35" s="24">
        <f t="shared" si="1"/>
        <v>43918</v>
      </c>
      <c r="C35" s="25">
        <f t="shared" si="0"/>
        <v>43918</v>
      </c>
      <c r="D35" s="19"/>
      <c r="E35" s="58"/>
      <c r="F35" s="59"/>
      <c r="G35" s="59"/>
      <c r="H35" s="186"/>
      <c r="I35" s="187"/>
      <c r="J35" s="188" t="s">
        <v>72</v>
      </c>
      <c r="K35" s="189"/>
      <c r="L35" s="91"/>
      <c r="M35" s="53" t="str">
        <f t="shared" si="4"/>
        <v/>
      </c>
      <c r="N35" s="52"/>
      <c r="O35" s="183"/>
      <c r="P35" s="190"/>
      <c r="Q35" s="190"/>
      <c r="R35" s="190"/>
      <c r="S35" s="190"/>
      <c r="T35" s="190"/>
      <c r="U35" s="190"/>
      <c r="V35" s="190"/>
      <c r="W35" s="191"/>
      <c r="X35" s="23"/>
      <c r="Y35" s="26"/>
      <c r="Z35" s="27"/>
      <c r="AA35" s="28"/>
      <c r="AB35" s="23"/>
    </row>
    <row r="36" spans="2:28" ht="17.100000000000001" customHeight="1">
      <c r="B36" s="24">
        <f>IF(DAY(B35+1)&lt;=3,"",B35+1)</f>
        <v>43919</v>
      </c>
      <c r="C36" s="25">
        <f t="shared" si="0"/>
        <v>43919</v>
      </c>
      <c r="D36" s="19"/>
      <c r="E36" s="58"/>
      <c r="F36" s="59"/>
      <c r="G36" s="59"/>
      <c r="H36" s="186"/>
      <c r="I36" s="187"/>
      <c r="J36" s="188" t="s">
        <v>72</v>
      </c>
      <c r="K36" s="189"/>
      <c r="L36" s="83"/>
      <c r="M36" s="53" t="str">
        <f t="shared" si="2"/>
        <v/>
      </c>
      <c r="N36" s="52"/>
      <c r="O36" s="183"/>
      <c r="P36" s="184"/>
      <c r="Q36" s="184"/>
      <c r="R36" s="184"/>
      <c r="S36" s="184"/>
      <c r="T36" s="184"/>
      <c r="U36" s="184"/>
      <c r="V36" s="184"/>
      <c r="W36" s="185"/>
      <c r="X36" s="23"/>
      <c r="Y36" s="26"/>
      <c r="Z36" s="27"/>
      <c r="AA36" s="28"/>
      <c r="AB36" s="23"/>
    </row>
    <row r="37" spans="2:28" ht="17.100000000000001" customHeight="1">
      <c r="B37" s="24">
        <f>IF(DAY(B35+2)&lt;=3,"",B36+1)</f>
        <v>43920</v>
      </c>
      <c r="C37" s="25">
        <f t="shared" si="0"/>
        <v>43920</v>
      </c>
      <c r="D37" s="19"/>
      <c r="E37" s="58"/>
      <c r="F37" s="59"/>
      <c r="G37" s="59"/>
      <c r="H37" s="186">
        <v>0.47916666666666669</v>
      </c>
      <c r="I37" s="187"/>
      <c r="J37" s="188" t="s">
        <v>72</v>
      </c>
      <c r="K37" s="189"/>
      <c r="L37" s="94">
        <v>0.79166666666666663</v>
      </c>
      <c r="M37" s="53">
        <f t="shared" si="4"/>
        <v>6.5</v>
      </c>
      <c r="N37" s="52">
        <v>4.1666666666666664E-2</v>
      </c>
      <c r="O37" s="183"/>
      <c r="P37" s="184"/>
      <c r="Q37" s="184"/>
      <c r="R37" s="184"/>
      <c r="S37" s="184"/>
      <c r="T37" s="184"/>
      <c r="U37" s="184"/>
      <c r="V37" s="184"/>
      <c r="W37" s="185"/>
      <c r="X37" s="23"/>
      <c r="Y37" s="26"/>
      <c r="Z37" s="27"/>
      <c r="AA37" s="28"/>
      <c r="AB37" s="23"/>
    </row>
    <row r="38" spans="2:28" ht="17.100000000000001" customHeight="1" thickBot="1">
      <c r="B38" s="24">
        <f>IF(DAY(B35+3)&lt;=3,"",B37+1)</f>
        <v>43921</v>
      </c>
      <c r="C38" s="25">
        <f t="shared" si="0"/>
        <v>43921</v>
      </c>
      <c r="D38" s="19"/>
      <c r="E38" s="58"/>
      <c r="F38" s="62"/>
      <c r="G38" s="59"/>
      <c r="H38" s="186">
        <v>0.45833333333333331</v>
      </c>
      <c r="I38" s="187"/>
      <c r="J38" s="189" t="s">
        <v>3</v>
      </c>
      <c r="K38" s="189"/>
      <c r="L38" s="95">
        <v>0.79166666666666663</v>
      </c>
      <c r="M38" s="53">
        <f t="shared" si="2"/>
        <v>7</v>
      </c>
      <c r="N38" s="52">
        <v>4.1666666666666664E-2</v>
      </c>
      <c r="O38" s="183"/>
      <c r="P38" s="184"/>
      <c r="Q38" s="184"/>
      <c r="R38" s="184"/>
      <c r="S38" s="184"/>
      <c r="T38" s="184"/>
      <c r="U38" s="184"/>
      <c r="V38" s="184"/>
      <c r="W38" s="185"/>
      <c r="X38" s="23"/>
      <c r="Y38" s="30"/>
      <c r="Z38" s="31"/>
      <c r="AA38" s="32"/>
      <c r="AB38" s="23"/>
    </row>
    <row r="39" spans="2:28" ht="17.100000000000001" customHeight="1" thickTop="1">
      <c r="B39" s="154" t="s">
        <v>4</v>
      </c>
      <c r="C39" s="155"/>
      <c r="D39" s="156"/>
      <c r="E39" s="155" t="s">
        <v>5</v>
      </c>
      <c r="F39" s="160"/>
      <c r="G39" s="160"/>
      <c r="H39" s="160"/>
      <c r="I39" s="160"/>
      <c r="J39" s="160"/>
      <c r="K39" s="160"/>
      <c r="L39" s="161"/>
      <c r="M39" s="164">
        <f>SUM(M8:M38)</f>
        <v>140</v>
      </c>
      <c r="N39" s="166">
        <f>HOUR(SUM(N8:N38))+MINUTE(SUM(N8:N38))/60</f>
        <v>21</v>
      </c>
      <c r="O39" s="168"/>
      <c r="P39" s="169"/>
      <c r="Q39" s="166"/>
      <c r="R39" s="168"/>
      <c r="S39" s="173" t="s">
        <v>66</v>
      </c>
      <c r="T39" s="174"/>
      <c r="U39" s="192">
        <f>IF($N$39=0,"",$N$39)</f>
        <v>21</v>
      </c>
      <c r="V39" s="193"/>
      <c r="W39" s="37" t="s">
        <v>63</v>
      </c>
    </row>
    <row r="40" spans="2:28" ht="17.100000000000001" customHeight="1" thickBot="1">
      <c r="B40" s="157"/>
      <c r="C40" s="158"/>
      <c r="D40" s="159"/>
      <c r="E40" s="162"/>
      <c r="F40" s="162"/>
      <c r="G40" s="162"/>
      <c r="H40" s="162"/>
      <c r="I40" s="162"/>
      <c r="J40" s="162"/>
      <c r="K40" s="162"/>
      <c r="L40" s="163"/>
      <c r="M40" s="165"/>
      <c r="N40" s="167"/>
      <c r="O40" s="170"/>
      <c r="P40" s="171"/>
      <c r="Q40" s="167"/>
      <c r="R40" s="172"/>
      <c r="S40" s="175"/>
      <c r="T40" s="176"/>
      <c r="U40" s="127" t="str">
        <f>IF(OR(COUNTIF($D$8:$D$38,"遅刻")&gt;0,COUNTIF($D$8:$D$38,"早退")&gt;0,COUNTIF($D$8:$D$38,"外出")&gt;0),COUNTIF($D$8:$D$38,"遅刻")+COUNTIF($D$8:$D$38,"早退")+COUNTIF($D$8:$D$38,"外出"),"")</f>
        <v/>
      </c>
      <c r="V40" s="180"/>
      <c r="W40" s="38" t="s">
        <v>29</v>
      </c>
    </row>
    <row r="41" spans="2:28" ht="17.100000000000001" customHeight="1">
      <c r="B41" s="150" t="s">
        <v>21</v>
      </c>
      <c r="C41" s="152" t="s">
        <v>64</v>
      </c>
      <c r="D41" s="153"/>
      <c r="E41" s="177" t="s">
        <v>22</v>
      </c>
      <c r="F41" s="178"/>
      <c r="G41" s="178"/>
      <c r="H41" s="178"/>
      <c r="I41" s="178"/>
      <c r="J41" s="178"/>
      <c r="K41" s="178"/>
      <c r="L41" s="179"/>
      <c r="M41" s="33" t="s">
        <v>51</v>
      </c>
      <c r="N41" s="1" t="s">
        <v>52</v>
      </c>
      <c r="O41" s="181" t="s">
        <v>6</v>
      </c>
      <c r="P41" s="182"/>
      <c r="Q41" s="1" t="s">
        <v>53</v>
      </c>
      <c r="R41" s="1" t="s">
        <v>42</v>
      </c>
      <c r="S41" s="125" t="s">
        <v>23</v>
      </c>
      <c r="T41" s="126"/>
      <c r="U41" s="127" t="str">
        <f>IF(OR(COUNTIF($D$8:$D$38,"有休")&gt;0,COUNTIF($D$8:$D$38,"半有")&gt;0,COUNTIF($D$8:$D$38,"半有+半代")&gt;0,COUNTIF($D$8:$D$38,"半有+半特")&gt;0),COUNTIF($D$8:$D$38,"有休")+COUNTIF($D$8:$D$38,"半有")*0.5+COUNTIF($D$8:$D$38,"半有+半代")*0.5+COUNTIF($D$8:$D$38,"半代+半特")*0.5,"")</f>
        <v/>
      </c>
      <c r="V41" s="128"/>
      <c r="W41" s="38" t="s">
        <v>27</v>
      </c>
    </row>
    <row r="42" spans="2:28" ht="17.100000000000001" customHeight="1">
      <c r="B42" s="151"/>
      <c r="C42" s="119">
        <v>1</v>
      </c>
      <c r="D42" s="120"/>
      <c r="E42" s="119"/>
      <c r="F42" s="121"/>
      <c r="G42" s="121"/>
      <c r="H42" s="121"/>
      <c r="I42" s="121"/>
      <c r="J42" s="121"/>
      <c r="K42" s="121"/>
      <c r="L42" s="122"/>
      <c r="M42" s="34"/>
      <c r="N42" s="34"/>
      <c r="O42" s="123"/>
      <c r="P42" s="124"/>
      <c r="Q42" s="34"/>
      <c r="R42" s="40"/>
      <c r="S42" s="125" t="s">
        <v>47</v>
      </c>
      <c r="T42" s="126"/>
      <c r="U42" s="127" t="str">
        <f>IF(COUNTIF($D$8:$D$38,"休出")&gt;0,COUNTIF($R$8:$R$38,"&gt;=8")+(COUNTIF($R$8:$R$38,"&lt;8")-COUNTIF($R$8:$R$38,"&lt;4"))*0.5,"")</f>
        <v/>
      </c>
      <c r="V42" s="128"/>
      <c r="W42" s="38" t="s">
        <v>27</v>
      </c>
    </row>
    <row r="43" spans="2:28" ht="17.100000000000001" customHeight="1">
      <c r="B43" s="151"/>
      <c r="C43" s="119">
        <v>2</v>
      </c>
      <c r="D43" s="120"/>
      <c r="E43" s="119"/>
      <c r="F43" s="121"/>
      <c r="G43" s="121"/>
      <c r="H43" s="121"/>
      <c r="I43" s="121"/>
      <c r="J43" s="121"/>
      <c r="K43" s="121"/>
      <c r="L43" s="122"/>
      <c r="M43" s="34"/>
      <c r="N43" s="34"/>
      <c r="O43" s="123"/>
      <c r="P43" s="124"/>
      <c r="Q43" s="34"/>
      <c r="R43" s="40"/>
      <c r="S43" s="125" t="s">
        <v>48</v>
      </c>
      <c r="T43" s="126"/>
      <c r="U43" s="127" t="str">
        <f>IF(OR(COUNTIF($D$8:$D$38,"代休")&gt;0,COUNTIF($D$8:$D$38,"半代")&gt;0,COUNTIF($D$8:$D$38,"半有+半代")&gt;0,COUNTIF($D$8:$D$38,"半代+半特")&gt;0),COUNTIF($D$8:$D$38,"代休")+COUNTIF($D$8:$D$38,"半代")*0.5+COUNTIF($D$8:$D$38,"半有+半代")*0.5+COUNTIF($D$8:$D$38,"半代+半特")*0.5,"")</f>
        <v/>
      </c>
      <c r="V43" s="128"/>
      <c r="W43" s="38" t="s">
        <v>27</v>
      </c>
    </row>
    <row r="44" spans="2:28" ht="17.100000000000001" customHeight="1" thickBot="1">
      <c r="B44" s="151"/>
      <c r="C44" s="131">
        <v>3</v>
      </c>
      <c r="D44" s="132"/>
      <c r="E44" s="131"/>
      <c r="F44" s="133"/>
      <c r="G44" s="133"/>
      <c r="H44" s="133"/>
      <c r="I44" s="133"/>
      <c r="J44" s="133"/>
      <c r="K44" s="133"/>
      <c r="L44" s="134"/>
      <c r="M44" s="35"/>
      <c r="N44" s="35"/>
      <c r="O44" s="135"/>
      <c r="P44" s="136"/>
      <c r="Q44" s="35"/>
      <c r="R44" s="41"/>
      <c r="S44" s="125" t="s">
        <v>24</v>
      </c>
      <c r="T44" s="126"/>
      <c r="U44" s="127" t="str">
        <f>IF(OR(COUNTIF($D$8:$D$38,"特休")&gt;0,COUNTIF($D$8:$D$38,"半特")&gt;0,COUNTIF($D$8:$D$38,"半有+半特")&gt;0,COUNTIF($D$8:$D$38,"半代+半特")&gt;0),COUNTIF($D$8:$D$38,"特休")+COUNTIF($D$8:$D$38,"半特")*0.5+COUNTIF($D$8:$D$38,"半有+半特")*0.5+COUNTIF($D$8:$D$38,"半代+半特")*0.5,"")</f>
        <v/>
      </c>
      <c r="V44" s="128"/>
      <c r="W44" s="38" t="s">
        <v>27</v>
      </c>
    </row>
    <row r="45" spans="2:28" ht="17.100000000000001" customHeight="1" thickBot="1">
      <c r="B45" s="143" t="s">
        <v>112</v>
      </c>
      <c r="C45" s="144"/>
      <c r="D45" s="144"/>
      <c r="E45" s="144"/>
      <c r="F45" s="144"/>
      <c r="G45" s="144"/>
      <c r="H45" s="144"/>
      <c r="I45" s="144"/>
      <c r="J45" s="144"/>
      <c r="K45" s="145"/>
      <c r="L45" s="146"/>
      <c r="M45" s="147"/>
      <c r="N45" s="146" t="s">
        <v>68</v>
      </c>
      <c r="O45" s="148"/>
      <c r="P45" s="147"/>
      <c r="Q45" s="146" t="s">
        <v>67</v>
      </c>
      <c r="R45" s="149"/>
      <c r="S45" s="125" t="s">
        <v>25</v>
      </c>
      <c r="T45" s="126"/>
      <c r="U45" s="127" t="str">
        <f>IF(COUNTIF($D$8:$D$38,"公休")&gt;0,COUNTIF($D$8:$D$38,"公休"),"")</f>
        <v/>
      </c>
      <c r="V45" s="137"/>
      <c r="W45" s="38" t="s">
        <v>27</v>
      </c>
    </row>
    <row r="46" spans="2:28" ht="17.100000000000001" customHeight="1">
      <c r="B46" s="138" t="s">
        <v>120</v>
      </c>
      <c r="C46" s="139"/>
      <c r="D46" s="139"/>
      <c r="E46" s="139"/>
      <c r="F46" s="139"/>
      <c r="G46" s="139"/>
      <c r="H46" s="139"/>
      <c r="I46" s="139"/>
      <c r="J46" s="139"/>
      <c r="K46" s="140"/>
      <c r="L46" s="108"/>
      <c r="M46" s="101"/>
      <c r="N46" s="99"/>
      <c r="O46" s="100"/>
      <c r="P46" s="101"/>
      <c r="Q46" s="108"/>
      <c r="R46" s="109"/>
      <c r="S46" s="125" t="s">
        <v>26</v>
      </c>
      <c r="T46" s="126"/>
      <c r="U46" s="127" t="str">
        <f>IF(OR(COUNTIF($D$8:$D$38,"欠勤")&gt;0,COUNTIF($D$8:$D$38,"半欠")&gt;0),COUNTIF($D$8:$D$38,"欠勤")+COUNTIF($D$8:$D$38,"半欠")*0.5,"")</f>
        <v/>
      </c>
      <c r="V46" s="137"/>
      <c r="W46" s="38" t="s">
        <v>27</v>
      </c>
    </row>
    <row r="47" spans="2:28" ht="17.100000000000001" customHeight="1">
      <c r="B47" s="138" t="s">
        <v>111</v>
      </c>
      <c r="C47" s="139"/>
      <c r="D47" s="139"/>
      <c r="E47" s="139"/>
      <c r="F47" s="139"/>
      <c r="G47" s="139"/>
      <c r="H47" s="139"/>
      <c r="I47" s="139"/>
      <c r="J47" s="139"/>
      <c r="K47" s="140"/>
      <c r="L47" s="102"/>
      <c r="M47" s="104"/>
      <c r="N47" s="102"/>
      <c r="O47" s="103"/>
      <c r="P47" s="104"/>
      <c r="Q47" s="110"/>
      <c r="R47" s="111"/>
      <c r="S47" s="125" t="s">
        <v>57</v>
      </c>
      <c r="T47" s="126"/>
      <c r="U47" s="141" t="str">
        <f>IF(COUNTIF($D$8:$D$38,"シフト")&gt;0,COUNTIF($D$8:$D$38,"シフト"),"")</f>
        <v/>
      </c>
      <c r="V47" s="142"/>
      <c r="W47" s="39" t="s">
        <v>29</v>
      </c>
    </row>
    <row r="48" spans="2:28" ht="17.100000000000001" customHeight="1" thickBot="1">
      <c r="B48" s="114" t="s">
        <v>59</v>
      </c>
      <c r="C48" s="115"/>
      <c r="D48" s="115"/>
      <c r="E48" s="115"/>
      <c r="F48" s="115"/>
      <c r="G48" s="115"/>
      <c r="H48" s="115"/>
      <c r="I48" s="115"/>
      <c r="J48" s="115"/>
      <c r="K48" s="116"/>
      <c r="L48" s="105"/>
      <c r="M48" s="107"/>
      <c r="N48" s="105"/>
      <c r="O48" s="106"/>
      <c r="P48" s="107"/>
      <c r="Q48" s="112"/>
      <c r="R48" s="113"/>
      <c r="S48" s="117" t="s">
        <v>113</v>
      </c>
      <c r="T48" s="118"/>
      <c r="U48" s="129"/>
      <c r="V48" s="130"/>
      <c r="W48" s="76"/>
    </row>
  </sheetData>
  <mergeCells count="175">
    <mergeCell ref="R2:S2"/>
    <mergeCell ref="B2:D3"/>
    <mergeCell ref="G2:H2"/>
    <mergeCell ref="I2:L2"/>
    <mergeCell ref="O3:Q3"/>
    <mergeCell ref="V2:W2"/>
    <mergeCell ref="H3:K4"/>
    <mergeCell ref="L3:L4"/>
    <mergeCell ref="R3:S3"/>
    <mergeCell ref="V3:W3"/>
    <mergeCell ref="M2:N2"/>
    <mergeCell ref="O2:Q2"/>
    <mergeCell ref="R4:S4"/>
    <mergeCell ref="E2:F2"/>
    <mergeCell ref="Z6:AA6"/>
    <mergeCell ref="H8:I8"/>
    <mergeCell ref="J8:K8"/>
    <mergeCell ref="H6:L7"/>
    <mergeCell ref="N6:N7"/>
    <mergeCell ref="V4:W4"/>
    <mergeCell ref="B5:R5"/>
    <mergeCell ref="S5:W5"/>
    <mergeCell ref="F6:F7"/>
    <mergeCell ref="G6:G7"/>
    <mergeCell ref="B4:D4"/>
    <mergeCell ref="B6:B7"/>
    <mergeCell ref="C6:C7"/>
    <mergeCell ref="D6:D7"/>
    <mergeCell ref="E3:F4"/>
    <mergeCell ref="M3:N4"/>
    <mergeCell ref="O4:Q4"/>
    <mergeCell ref="H9:I9"/>
    <mergeCell ref="J9:K9"/>
    <mergeCell ref="H10:I10"/>
    <mergeCell ref="J10:K10"/>
    <mergeCell ref="E6:E7"/>
    <mergeCell ref="Y6:Y7"/>
    <mergeCell ref="O6:W7"/>
    <mergeCell ref="O8:W8"/>
    <mergeCell ref="O9:W9"/>
    <mergeCell ref="O10:W10"/>
    <mergeCell ref="O13:W13"/>
    <mergeCell ref="O14:W14"/>
    <mergeCell ref="H11:I11"/>
    <mergeCell ref="J11:K11"/>
    <mergeCell ref="H12:I12"/>
    <mergeCell ref="J12:K12"/>
    <mergeCell ref="H13:I13"/>
    <mergeCell ref="J13:K13"/>
    <mergeCell ref="H14:I14"/>
    <mergeCell ref="J14:K14"/>
    <mergeCell ref="O11:W11"/>
    <mergeCell ref="O12:W12"/>
    <mergeCell ref="O17:W17"/>
    <mergeCell ref="O18:W18"/>
    <mergeCell ref="H15:I15"/>
    <mergeCell ref="J15:K15"/>
    <mergeCell ref="H16:I16"/>
    <mergeCell ref="J16:K16"/>
    <mergeCell ref="O15:W15"/>
    <mergeCell ref="O16:W16"/>
    <mergeCell ref="H17:I17"/>
    <mergeCell ref="J17:K17"/>
    <mergeCell ref="H18:I18"/>
    <mergeCell ref="J18:K18"/>
    <mergeCell ref="O21:W21"/>
    <mergeCell ref="O22:W22"/>
    <mergeCell ref="H19:I19"/>
    <mergeCell ref="J19:K19"/>
    <mergeCell ref="H20:I20"/>
    <mergeCell ref="J20:K20"/>
    <mergeCell ref="O19:W19"/>
    <mergeCell ref="O20:W20"/>
    <mergeCell ref="H21:I21"/>
    <mergeCell ref="J21:K21"/>
    <mergeCell ref="H22:I22"/>
    <mergeCell ref="J22:K22"/>
    <mergeCell ref="O25:W25"/>
    <mergeCell ref="O26:W26"/>
    <mergeCell ref="H23:I23"/>
    <mergeCell ref="J23:K23"/>
    <mergeCell ref="H24:I24"/>
    <mergeCell ref="J24:K24"/>
    <mergeCell ref="O23:W23"/>
    <mergeCell ref="O24:W24"/>
    <mergeCell ref="H25:I25"/>
    <mergeCell ref="J25:K25"/>
    <mergeCell ref="H26:I26"/>
    <mergeCell ref="J26:K26"/>
    <mergeCell ref="O29:W29"/>
    <mergeCell ref="O30:W30"/>
    <mergeCell ref="H27:I27"/>
    <mergeCell ref="J27:K27"/>
    <mergeCell ref="H28:I28"/>
    <mergeCell ref="J28:K28"/>
    <mergeCell ref="O27:W27"/>
    <mergeCell ref="O28:W28"/>
    <mergeCell ref="H29:I29"/>
    <mergeCell ref="J29:K29"/>
    <mergeCell ref="H30:I30"/>
    <mergeCell ref="J30:K30"/>
    <mergeCell ref="O33:W33"/>
    <mergeCell ref="O34:W34"/>
    <mergeCell ref="H31:I31"/>
    <mergeCell ref="J31:K31"/>
    <mergeCell ref="H32:I32"/>
    <mergeCell ref="J32:K32"/>
    <mergeCell ref="O31:W31"/>
    <mergeCell ref="O32:W32"/>
    <mergeCell ref="H33:I33"/>
    <mergeCell ref="J33:K33"/>
    <mergeCell ref="H34:I34"/>
    <mergeCell ref="J34:K34"/>
    <mergeCell ref="O37:W37"/>
    <mergeCell ref="O38:W38"/>
    <mergeCell ref="H35:I35"/>
    <mergeCell ref="J35:K35"/>
    <mergeCell ref="H36:I36"/>
    <mergeCell ref="J36:K36"/>
    <mergeCell ref="O35:W35"/>
    <mergeCell ref="O36:W36"/>
    <mergeCell ref="U39:V39"/>
    <mergeCell ref="H37:I37"/>
    <mergeCell ref="J37:K37"/>
    <mergeCell ref="H38:I38"/>
    <mergeCell ref="J38:K38"/>
    <mergeCell ref="B41:B44"/>
    <mergeCell ref="C41:D41"/>
    <mergeCell ref="S41:T41"/>
    <mergeCell ref="U41:V41"/>
    <mergeCell ref="B39:D40"/>
    <mergeCell ref="E39:L40"/>
    <mergeCell ref="M39:M40"/>
    <mergeCell ref="N39:N40"/>
    <mergeCell ref="O39:P40"/>
    <mergeCell ref="Q39:Q40"/>
    <mergeCell ref="R39:R40"/>
    <mergeCell ref="S39:T40"/>
    <mergeCell ref="E41:L41"/>
    <mergeCell ref="U40:V40"/>
    <mergeCell ref="O41:P41"/>
    <mergeCell ref="N45:P45"/>
    <mergeCell ref="C42:D42"/>
    <mergeCell ref="E42:L42"/>
    <mergeCell ref="S44:T44"/>
    <mergeCell ref="U44:V44"/>
    <mergeCell ref="S42:T42"/>
    <mergeCell ref="U42:V42"/>
    <mergeCell ref="O42:P42"/>
    <mergeCell ref="Q45:R45"/>
    <mergeCell ref="S45:T45"/>
    <mergeCell ref="AC6:AC7"/>
    <mergeCell ref="N46:P48"/>
    <mergeCell ref="Q46:R48"/>
    <mergeCell ref="B48:K48"/>
    <mergeCell ref="S48:T48"/>
    <mergeCell ref="C43:D43"/>
    <mergeCell ref="E43:L43"/>
    <mergeCell ref="O43:P43"/>
    <mergeCell ref="S43:T43"/>
    <mergeCell ref="U43:V43"/>
    <mergeCell ref="U48:V48"/>
    <mergeCell ref="C44:D44"/>
    <mergeCell ref="E44:L44"/>
    <mergeCell ref="O44:P44"/>
    <mergeCell ref="U45:V45"/>
    <mergeCell ref="S46:T46"/>
    <mergeCell ref="U46:V46"/>
    <mergeCell ref="B47:K47"/>
    <mergeCell ref="S47:T47"/>
    <mergeCell ref="U47:V47"/>
    <mergeCell ref="B46:K46"/>
    <mergeCell ref="L46:M48"/>
    <mergeCell ref="B45:K45"/>
    <mergeCell ref="L45:M45"/>
  </mergeCells>
  <phoneticPr fontId="5"/>
  <conditionalFormatting sqref="B12:D12 M12 F12:G12">
    <cfRule type="expression" dxfId="739" priority="1505" stopIfTrue="1">
      <formula>WEEKDAY($C12)=7</formula>
    </cfRule>
    <cfRule type="expression" dxfId="738" priority="1506" stopIfTrue="1">
      <formula>WEEKDAY($C12)=1</formula>
    </cfRule>
  </conditionalFormatting>
  <conditionalFormatting sqref="B8:G10 M8:M13 O36:P38 B11:D11 F11:G11 E9:E11 O8:P34 M36 M15:M31 M38">
    <cfRule type="expression" dxfId="737" priority="1503" stopIfTrue="1">
      <formula>WEEKDAY($C8)=7</formula>
    </cfRule>
    <cfRule type="expression" dxfId="736" priority="1504" stopIfTrue="1">
      <formula>WEEKDAY($C8)=1</formula>
    </cfRule>
  </conditionalFormatting>
  <conditionalFormatting sqref="J15:K15 M18:M19 M25:M26 B31:G32 B13:D30 B38:G38 B33:D37 F33:G37 F13:G30 E35:E38">
    <cfRule type="expression" dxfId="735" priority="1501" stopIfTrue="1">
      <formula>WEEKDAY($C13)=7</formula>
    </cfRule>
    <cfRule type="expression" dxfId="734" priority="1502" stopIfTrue="1">
      <formula>WEEKDAY($C13)=1</formula>
    </cfRule>
  </conditionalFormatting>
  <conditionalFormatting sqref="J11:K13 H8 J8:L8">
    <cfRule type="expression" dxfId="733" priority="1499" stopIfTrue="1">
      <formula>WEEKDAY($C8)=7</formula>
    </cfRule>
    <cfRule type="expression" dxfId="732" priority="1500" stopIfTrue="1">
      <formula>WEEKDAY($C8)=1</formula>
    </cfRule>
  </conditionalFormatting>
  <conditionalFormatting sqref="J10:K10">
    <cfRule type="expression" dxfId="731" priority="1485" stopIfTrue="1">
      <formula>WEEKDAY($C10)=7</formula>
    </cfRule>
    <cfRule type="expression" dxfId="730" priority="1486" stopIfTrue="1">
      <formula>WEEKDAY($C10)=1</formula>
    </cfRule>
  </conditionalFormatting>
  <conditionalFormatting sqref="J9:K9">
    <cfRule type="expression" dxfId="729" priority="1479" stopIfTrue="1">
      <formula>WEEKDAY($C9)=7</formula>
    </cfRule>
    <cfRule type="expression" dxfId="728" priority="1480" stopIfTrue="1">
      <formula>WEEKDAY($C9)=1</formula>
    </cfRule>
  </conditionalFormatting>
  <conditionalFormatting sqref="J21:K22">
    <cfRule type="expression" dxfId="727" priority="1473" stopIfTrue="1">
      <formula>WEEKDAY($C21)=7</formula>
    </cfRule>
    <cfRule type="expression" dxfId="726" priority="1474" stopIfTrue="1">
      <formula>WEEKDAY($C21)=1</formula>
    </cfRule>
  </conditionalFormatting>
  <conditionalFormatting sqref="J18:K20">
    <cfRule type="expression" dxfId="725" priority="1471" stopIfTrue="1">
      <formula>WEEKDAY($C18)=7</formula>
    </cfRule>
    <cfRule type="expression" dxfId="724" priority="1472" stopIfTrue="1">
      <formula>WEEKDAY($C18)=1</formula>
    </cfRule>
  </conditionalFormatting>
  <conditionalFormatting sqref="J17:K17">
    <cfRule type="expression" dxfId="723" priority="1457" stopIfTrue="1">
      <formula>WEEKDAY($C17)=7</formula>
    </cfRule>
    <cfRule type="expression" dxfId="722" priority="1458" stopIfTrue="1">
      <formula>WEEKDAY($C17)=1</formula>
    </cfRule>
  </conditionalFormatting>
  <conditionalFormatting sqref="J16:K16">
    <cfRule type="expression" dxfId="721" priority="1451" stopIfTrue="1">
      <formula>WEEKDAY($C16)=7</formula>
    </cfRule>
    <cfRule type="expression" dxfId="720" priority="1452" stopIfTrue="1">
      <formula>WEEKDAY($C16)=1</formula>
    </cfRule>
  </conditionalFormatting>
  <conditionalFormatting sqref="J28:K29">
    <cfRule type="expression" dxfId="719" priority="1445" stopIfTrue="1">
      <formula>WEEKDAY($C28)=7</formula>
    </cfRule>
    <cfRule type="expression" dxfId="718" priority="1446" stopIfTrue="1">
      <formula>WEEKDAY($C28)=1</formula>
    </cfRule>
  </conditionalFormatting>
  <conditionalFormatting sqref="J25:K27">
    <cfRule type="expression" dxfId="717" priority="1443" stopIfTrue="1">
      <formula>WEEKDAY($C25)=7</formula>
    </cfRule>
    <cfRule type="expression" dxfId="716" priority="1444" stopIfTrue="1">
      <formula>WEEKDAY($C25)=1</formula>
    </cfRule>
  </conditionalFormatting>
  <conditionalFormatting sqref="J24:K24">
    <cfRule type="expression" dxfId="715" priority="1429" stopIfTrue="1">
      <formula>WEEKDAY($C24)=7</formula>
    </cfRule>
    <cfRule type="expression" dxfId="714" priority="1430" stopIfTrue="1">
      <formula>WEEKDAY($C24)=1</formula>
    </cfRule>
  </conditionalFormatting>
  <conditionalFormatting sqref="J23:K23">
    <cfRule type="expression" dxfId="713" priority="1423" stopIfTrue="1">
      <formula>WEEKDAY($C23)=7</formula>
    </cfRule>
    <cfRule type="expression" dxfId="712" priority="1424" stopIfTrue="1">
      <formula>WEEKDAY($C23)=1</formula>
    </cfRule>
  </conditionalFormatting>
  <conditionalFormatting sqref="J36:K36">
    <cfRule type="expression" dxfId="711" priority="1417" stopIfTrue="1">
      <formula>WEEKDAY($C36)=7</formula>
    </cfRule>
    <cfRule type="expression" dxfId="710" priority="1418" stopIfTrue="1">
      <formula>WEEKDAY($C36)=1</formula>
    </cfRule>
  </conditionalFormatting>
  <conditionalFormatting sqref="J31:K31">
    <cfRule type="expression" dxfId="709" priority="1401" stopIfTrue="1">
      <formula>WEEKDAY($C31)=7</formula>
    </cfRule>
    <cfRule type="expression" dxfId="708" priority="1402" stopIfTrue="1">
      <formula>WEEKDAY($C31)=1</formula>
    </cfRule>
  </conditionalFormatting>
  <conditionalFormatting sqref="J30:K30">
    <cfRule type="expression" dxfId="707" priority="1395" stopIfTrue="1">
      <formula>WEEKDAY($C30)=7</formula>
    </cfRule>
    <cfRule type="expression" dxfId="706" priority="1396" stopIfTrue="1">
      <formula>WEEKDAY($C30)=1</formula>
    </cfRule>
  </conditionalFormatting>
  <conditionalFormatting sqref="J37:K38">
    <cfRule type="expression" dxfId="705" priority="1389" stopIfTrue="1">
      <formula>WEEKDAY($C37)=7</formula>
    </cfRule>
    <cfRule type="expression" dxfId="704" priority="1390" stopIfTrue="1">
      <formula>WEEKDAY($C37)=1</formula>
    </cfRule>
  </conditionalFormatting>
  <conditionalFormatting sqref="N8:N23 N27:N33">
    <cfRule type="expression" dxfId="703" priority="1319" stopIfTrue="1">
      <formula>WEEKDAY($C8)=7</formula>
    </cfRule>
    <cfRule type="expression" dxfId="702" priority="1320" stopIfTrue="1">
      <formula>WEEKDAY($C8)=1</formula>
    </cfRule>
  </conditionalFormatting>
  <conditionalFormatting sqref="E15:E16">
    <cfRule type="expression" dxfId="701" priority="1317" stopIfTrue="1">
      <formula>WEEKDAY($C15)=7</formula>
    </cfRule>
    <cfRule type="expression" dxfId="700" priority="1318" stopIfTrue="1">
      <formula>WEEKDAY($C15)=1</formula>
    </cfRule>
  </conditionalFormatting>
  <conditionalFormatting sqref="E22:E23">
    <cfRule type="expression" dxfId="699" priority="1315" stopIfTrue="1">
      <formula>WEEKDAY($C22)=7</formula>
    </cfRule>
    <cfRule type="expression" dxfId="698" priority="1316" stopIfTrue="1">
      <formula>WEEKDAY($C22)=1</formula>
    </cfRule>
  </conditionalFormatting>
  <conditionalFormatting sqref="E29:E30">
    <cfRule type="expression" dxfId="697" priority="1313" stopIfTrue="1">
      <formula>WEEKDAY($C29)=7</formula>
    </cfRule>
    <cfRule type="expression" dxfId="696" priority="1314" stopIfTrue="1">
      <formula>WEEKDAY($C29)=1</formula>
    </cfRule>
  </conditionalFormatting>
  <conditionalFormatting sqref="E35:E37">
    <cfRule type="expression" dxfId="695" priority="1311" stopIfTrue="1">
      <formula>WEEKDAY($C35)=7</formula>
    </cfRule>
    <cfRule type="expression" dxfId="694" priority="1312" stopIfTrue="1">
      <formula>WEEKDAY($C35)=1</formula>
    </cfRule>
  </conditionalFormatting>
  <conditionalFormatting sqref="O35:P35">
    <cfRule type="expression" dxfId="693" priority="1281" stopIfTrue="1">
      <formula>WEEKDAY($C35)=7</formula>
    </cfRule>
    <cfRule type="expression" dxfId="692" priority="1282" stopIfTrue="1">
      <formula>WEEKDAY($C35)=1</formula>
    </cfRule>
  </conditionalFormatting>
  <conditionalFormatting sqref="E11:E22">
    <cfRule type="expression" dxfId="691" priority="1253" stopIfTrue="1">
      <formula>WEEKDAY($C11)=7</formula>
    </cfRule>
    <cfRule type="expression" dxfId="690" priority="1254" stopIfTrue="1">
      <formula>WEEKDAY($C11)=1</formula>
    </cfRule>
  </conditionalFormatting>
  <conditionalFormatting sqref="E17:E29">
    <cfRule type="expression" dxfId="689" priority="1251" stopIfTrue="1">
      <formula>WEEKDAY($C17)=7</formula>
    </cfRule>
    <cfRule type="expression" dxfId="688" priority="1252" stopIfTrue="1">
      <formula>WEEKDAY($C17)=1</formula>
    </cfRule>
  </conditionalFormatting>
  <conditionalFormatting sqref="E24:E36">
    <cfRule type="expression" dxfId="687" priority="1249" stopIfTrue="1">
      <formula>WEEKDAY($C24)=7</formula>
    </cfRule>
    <cfRule type="expression" dxfId="686" priority="1250" stopIfTrue="1">
      <formula>WEEKDAY($C24)=1</formula>
    </cfRule>
  </conditionalFormatting>
  <conditionalFormatting sqref="E33:E34">
    <cfRule type="expression" dxfId="685" priority="1247" stopIfTrue="1">
      <formula>WEEKDAY($C33)=7</formula>
    </cfRule>
    <cfRule type="expression" dxfId="684" priority="1248" stopIfTrue="1">
      <formula>WEEKDAY($C33)=1</formula>
    </cfRule>
  </conditionalFormatting>
  <conditionalFormatting sqref="E14:E22">
    <cfRule type="expression" dxfId="683" priority="1245" stopIfTrue="1">
      <formula>WEEKDAY($C14)=7</formula>
    </cfRule>
    <cfRule type="expression" dxfId="682" priority="1246" stopIfTrue="1">
      <formula>WEEKDAY($C14)=1</formula>
    </cfRule>
  </conditionalFormatting>
  <conditionalFormatting sqref="E21:E29">
    <cfRule type="expression" dxfId="681" priority="1243" stopIfTrue="1">
      <formula>WEEKDAY($C21)=7</formula>
    </cfRule>
    <cfRule type="expression" dxfId="680" priority="1244" stopIfTrue="1">
      <formula>WEEKDAY($C21)=1</formula>
    </cfRule>
  </conditionalFormatting>
  <conditionalFormatting sqref="E21:E29">
    <cfRule type="expression" dxfId="679" priority="1241" stopIfTrue="1">
      <formula>WEEKDAY($C21)=7</formula>
    </cfRule>
    <cfRule type="expression" dxfId="678" priority="1242" stopIfTrue="1">
      <formula>WEEKDAY($C21)=1</formula>
    </cfRule>
  </conditionalFormatting>
  <conditionalFormatting sqref="E28:E36">
    <cfRule type="expression" dxfId="677" priority="1239" stopIfTrue="1">
      <formula>WEEKDAY($C28)=7</formula>
    </cfRule>
    <cfRule type="expression" dxfId="676" priority="1240" stopIfTrue="1">
      <formula>WEEKDAY($C28)=1</formula>
    </cfRule>
  </conditionalFormatting>
  <conditionalFormatting sqref="E28:E36">
    <cfRule type="expression" dxfId="675" priority="1237" stopIfTrue="1">
      <formula>WEEKDAY($C28)=7</formula>
    </cfRule>
    <cfRule type="expression" dxfId="674" priority="1238" stopIfTrue="1">
      <formula>WEEKDAY($C28)=1</formula>
    </cfRule>
  </conditionalFormatting>
  <conditionalFormatting sqref="E28:E36">
    <cfRule type="expression" dxfId="673" priority="1235" stopIfTrue="1">
      <formula>WEEKDAY($C28)=7</formula>
    </cfRule>
    <cfRule type="expression" dxfId="672" priority="1236" stopIfTrue="1">
      <formula>WEEKDAY($C28)=1</formula>
    </cfRule>
  </conditionalFormatting>
  <conditionalFormatting sqref="E35:E38">
    <cfRule type="expression" dxfId="671" priority="1233" stopIfTrue="1">
      <formula>WEEKDAY($C35)=7</formula>
    </cfRule>
    <cfRule type="expression" dxfId="670" priority="1234" stopIfTrue="1">
      <formula>WEEKDAY($C35)=1</formula>
    </cfRule>
  </conditionalFormatting>
  <conditionalFormatting sqref="E35:E38">
    <cfRule type="expression" dxfId="669" priority="1231" stopIfTrue="1">
      <formula>WEEKDAY($C35)=7</formula>
    </cfRule>
    <cfRule type="expression" dxfId="668" priority="1232" stopIfTrue="1">
      <formula>WEEKDAY($C35)=1</formula>
    </cfRule>
  </conditionalFormatting>
  <conditionalFormatting sqref="E35:E38">
    <cfRule type="expression" dxfId="667" priority="1229" stopIfTrue="1">
      <formula>WEEKDAY($C35)=7</formula>
    </cfRule>
    <cfRule type="expression" dxfId="666" priority="1230" stopIfTrue="1">
      <formula>WEEKDAY($C35)=1</formula>
    </cfRule>
  </conditionalFormatting>
  <conditionalFormatting sqref="E35:E38">
    <cfRule type="expression" dxfId="665" priority="1227" stopIfTrue="1">
      <formula>WEEKDAY($C35)=7</formula>
    </cfRule>
    <cfRule type="expression" dxfId="664" priority="1228" stopIfTrue="1">
      <formula>WEEKDAY($C35)=1</formula>
    </cfRule>
  </conditionalFormatting>
  <conditionalFormatting sqref="E18:E22">
    <cfRule type="expression" dxfId="663" priority="1085" stopIfTrue="1">
      <formula>WEEKDAY($C18)=7</formula>
    </cfRule>
    <cfRule type="expression" dxfId="662" priority="1086" stopIfTrue="1">
      <formula>WEEKDAY($C18)=1</formula>
    </cfRule>
  </conditionalFormatting>
  <conditionalFormatting sqref="E25:E29">
    <cfRule type="expression" dxfId="661" priority="1083" stopIfTrue="1">
      <formula>WEEKDAY($C25)=7</formula>
    </cfRule>
    <cfRule type="expression" dxfId="660" priority="1084" stopIfTrue="1">
      <formula>WEEKDAY($C25)=1</formula>
    </cfRule>
  </conditionalFormatting>
  <conditionalFormatting sqref="E25:E29">
    <cfRule type="expression" dxfId="659" priority="1081" stopIfTrue="1">
      <formula>WEEKDAY($C25)=7</formula>
    </cfRule>
    <cfRule type="expression" dxfId="658" priority="1082" stopIfTrue="1">
      <formula>WEEKDAY($C25)=1</formula>
    </cfRule>
  </conditionalFormatting>
  <conditionalFormatting sqref="E25:E29">
    <cfRule type="expression" dxfId="657" priority="1079" stopIfTrue="1">
      <formula>WEEKDAY($C25)=7</formula>
    </cfRule>
    <cfRule type="expression" dxfId="656" priority="1080" stopIfTrue="1">
      <formula>WEEKDAY($C25)=1</formula>
    </cfRule>
  </conditionalFormatting>
  <conditionalFormatting sqref="E25:E29">
    <cfRule type="expression" dxfId="655" priority="1077" stopIfTrue="1">
      <formula>WEEKDAY($C25)=7</formula>
    </cfRule>
    <cfRule type="expression" dxfId="654" priority="1078" stopIfTrue="1">
      <formula>WEEKDAY($C25)=1</formula>
    </cfRule>
  </conditionalFormatting>
  <conditionalFormatting sqref="E32:E36">
    <cfRule type="expression" dxfId="653" priority="1075" stopIfTrue="1">
      <formula>WEEKDAY($C32)=7</formula>
    </cfRule>
    <cfRule type="expression" dxfId="652" priority="1076" stopIfTrue="1">
      <formula>WEEKDAY($C32)=1</formula>
    </cfRule>
  </conditionalFormatting>
  <conditionalFormatting sqref="E32:E36">
    <cfRule type="expression" dxfId="651" priority="1073" stopIfTrue="1">
      <formula>WEEKDAY($C32)=7</formula>
    </cfRule>
    <cfRule type="expression" dxfId="650" priority="1074" stopIfTrue="1">
      <formula>WEEKDAY($C32)=1</formula>
    </cfRule>
  </conditionalFormatting>
  <conditionalFormatting sqref="E32:E36">
    <cfRule type="expression" dxfId="649" priority="1071" stopIfTrue="1">
      <formula>WEEKDAY($C32)=7</formula>
    </cfRule>
    <cfRule type="expression" dxfId="648" priority="1072" stopIfTrue="1">
      <formula>WEEKDAY($C32)=1</formula>
    </cfRule>
  </conditionalFormatting>
  <conditionalFormatting sqref="E32:E36">
    <cfRule type="expression" dxfId="647" priority="1069" stopIfTrue="1">
      <formula>WEEKDAY($C32)=7</formula>
    </cfRule>
    <cfRule type="expression" dxfId="646" priority="1070" stopIfTrue="1">
      <formula>WEEKDAY($C32)=1</formula>
    </cfRule>
  </conditionalFormatting>
  <conditionalFormatting sqref="E32:E36">
    <cfRule type="expression" dxfId="645" priority="1067" stopIfTrue="1">
      <formula>WEEKDAY($C32)=7</formula>
    </cfRule>
    <cfRule type="expression" dxfId="644" priority="1068" stopIfTrue="1">
      <formula>WEEKDAY($C32)=1</formula>
    </cfRule>
  </conditionalFormatting>
  <conditionalFormatting sqref="E32:E36">
    <cfRule type="expression" dxfId="643" priority="1065" stopIfTrue="1">
      <formula>WEEKDAY($C32)=7</formula>
    </cfRule>
    <cfRule type="expression" dxfId="642" priority="1066" stopIfTrue="1">
      <formula>WEEKDAY($C32)=1</formula>
    </cfRule>
  </conditionalFormatting>
  <conditionalFormatting sqref="E32:E36">
    <cfRule type="expression" dxfId="641" priority="1063" stopIfTrue="1">
      <formula>WEEKDAY($C32)=7</formula>
    </cfRule>
    <cfRule type="expression" dxfId="640" priority="1064" stopIfTrue="1">
      <formula>WEEKDAY($C32)=1</formula>
    </cfRule>
  </conditionalFormatting>
  <conditionalFormatting sqref="E32:E36">
    <cfRule type="expression" dxfId="639" priority="1061" stopIfTrue="1">
      <formula>WEEKDAY($C32)=7</formula>
    </cfRule>
    <cfRule type="expression" dxfId="638" priority="1062" stopIfTrue="1">
      <formula>WEEKDAY($C32)=1</formula>
    </cfRule>
  </conditionalFormatting>
  <conditionalFormatting sqref="M14">
    <cfRule type="expression" dxfId="637" priority="1059" stopIfTrue="1">
      <formula>WEEKDAY($C14)=7</formula>
    </cfRule>
    <cfRule type="expression" dxfId="636" priority="1060" stopIfTrue="1">
      <formula>WEEKDAY($C14)=1</formula>
    </cfRule>
  </conditionalFormatting>
  <conditionalFormatting sqref="J14:K14">
    <cfRule type="expression" dxfId="635" priority="1057" stopIfTrue="1">
      <formula>WEEKDAY($C14)=7</formula>
    </cfRule>
    <cfRule type="expression" dxfId="634" priority="1058" stopIfTrue="1">
      <formula>WEEKDAY($C14)=1</formula>
    </cfRule>
  </conditionalFormatting>
  <conditionalFormatting sqref="M32:M35">
    <cfRule type="expression" dxfId="633" priority="983" stopIfTrue="1">
      <formula>WEEKDAY($C32)=7</formula>
    </cfRule>
    <cfRule type="expression" dxfId="632" priority="984" stopIfTrue="1">
      <formula>WEEKDAY($C32)=1</formula>
    </cfRule>
  </conditionalFormatting>
  <conditionalFormatting sqref="M32:M33">
    <cfRule type="expression" dxfId="631" priority="981" stopIfTrue="1">
      <formula>WEEKDAY($C32)=7</formula>
    </cfRule>
    <cfRule type="expression" dxfId="630" priority="982" stopIfTrue="1">
      <formula>WEEKDAY($C32)=1</formula>
    </cfRule>
  </conditionalFormatting>
  <conditionalFormatting sqref="J35:K35">
    <cfRule type="expression" dxfId="629" priority="979" stopIfTrue="1">
      <formula>WEEKDAY($C35)=7</formula>
    </cfRule>
    <cfRule type="expression" dxfId="628" priority="980" stopIfTrue="1">
      <formula>WEEKDAY($C35)=1</formula>
    </cfRule>
  </conditionalFormatting>
  <conditionalFormatting sqref="J32:K34">
    <cfRule type="expression" dxfId="627" priority="977" stopIfTrue="1">
      <formula>WEEKDAY($C32)=7</formula>
    </cfRule>
    <cfRule type="expression" dxfId="626" priority="978" stopIfTrue="1">
      <formula>WEEKDAY($C32)=1</formula>
    </cfRule>
  </conditionalFormatting>
  <conditionalFormatting sqref="H15">
    <cfRule type="expression" dxfId="625" priority="833" stopIfTrue="1">
      <formula>WEEKDAY($C15)=7</formula>
    </cfRule>
    <cfRule type="expression" dxfId="624" priority="834" stopIfTrue="1">
      <formula>WEEKDAY($C15)=1</formula>
    </cfRule>
  </conditionalFormatting>
  <conditionalFormatting sqref="H15">
    <cfRule type="expression" dxfId="623" priority="831" stopIfTrue="1">
      <formula>WEEKDAY($C15)=7</formula>
    </cfRule>
    <cfRule type="expression" dxfId="622" priority="832" stopIfTrue="1">
      <formula>WEEKDAY($C15)=1</formula>
    </cfRule>
  </conditionalFormatting>
  <conditionalFormatting sqref="H15">
    <cfRule type="expression" dxfId="621" priority="829" stopIfTrue="1">
      <formula>WEEKDAY($C15)=7</formula>
    </cfRule>
    <cfRule type="expression" dxfId="620" priority="830" stopIfTrue="1">
      <formula>WEEKDAY($C15)=1</formula>
    </cfRule>
  </conditionalFormatting>
  <conditionalFormatting sqref="H15">
    <cfRule type="expression" dxfId="619" priority="827" stopIfTrue="1">
      <formula>WEEKDAY($C15)=7</formula>
    </cfRule>
    <cfRule type="expression" dxfId="618" priority="828" stopIfTrue="1">
      <formula>WEEKDAY($C15)=1</formula>
    </cfRule>
  </conditionalFormatting>
  <conditionalFormatting sqref="H15">
    <cfRule type="expression" dxfId="617" priority="825" stopIfTrue="1">
      <formula>WEEKDAY($C15)=7</formula>
    </cfRule>
    <cfRule type="expression" dxfId="616" priority="826" stopIfTrue="1">
      <formula>WEEKDAY($C15)=1</formula>
    </cfRule>
  </conditionalFormatting>
  <conditionalFormatting sqref="H15">
    <cfRule type="expression" dxfId="615" priority="823" stopIfTrue="1">
      <formula>WEEKDAY($C15)=7</formula>
    </cfRule>
    <cfRule type="expression" dxfId="614" priority="824" stopIfTrue="1">
      <formula>WEEKDAY($C15)=1</formula>
    </cfRule>
  </conditionalFormatting>
  <conditionalFormatting sqref="L15">
    <cfRule type="expression" dxfId="613" priority="797" stopIfTrue="1">
      <formula>WEEKDAY($C15)=7</formula>
    </cfRule>
    <cfRule type="expression" dxfId="612" priority="798" stopIfTrue="1">
      <formula>WEEKDAY($C15)=1</formula>
    </cfRule>
  </conditionalFormatting>
  <conditionalFormatting sqref="H22">
    <cfRule type="expression" dxfId="611" priority="737" stopIfTrue="1">
      <formula>WEEKDAY($C22)=7</formula>
    </cfRule>
    <cfRule type="expression" dxfId="610" priority="738" stopIfTrue="1">
      <formula>WEEKDAY($C22)=1</formula>
    </cfRule>
  </conditionalFormatting>
  <conditionalFormatting sqref="H22">
    <cfRule type="expression" dxfId="609" priority="735" stopIfTrue="1">
      <formula>WEEKDAY($C22)=7</formula>
    </cfRule>
    <cfRule type="expression" dxfId="608" priority="736" stopIfTrue="1">
      <formula>WEEKDAY($C22)=1</formula>
    </cfRule>
  </conditionalFormatting>
  <conditionalFormatting sqref="H22">
    <cfRule type="expression" dxfId="607" priority="733" stopIfTrue="1">
      <formula>WEEKDAY($C22)=7</formula>
    </cfRule>
    <cfRule type="expression" dxfId="606" priority="734" stopIfTrue="1">
      <formula>WEEKDAY($C22)=1</formula>
    </cfRule>
  </conditionalFormatting>
  <conditionalFormatting sqref="H22">
    <cfRule type="expression" dxfId="605" priority="731" stopIfTrue="1">
      <formula>WEEKDAY($C22)=7</formula>
    </cfRule>
    <cfRule type="expression" dxfId="604" priority="732" stopIfTrue="1">
      <formula>WEEKDAY($C22)=1</formula>
    </cfRule>
  </conditionalFormatting>
  <conditionalFormatting sqref="H22">
    <cfRule type="expression" dxfId="603" priority="729" stopIfTrue="1">
      <formula>WEEKDAY($C22)=7</formula>
    </cfRule>
    <cfRule type="expression" dxfId="602" priority="730" stopIfTrue="1">
      <formula>WEEKDAY($C22)=1</formula>
    </cfRule>
  </conditionalFormatting>
  <conditionalFormatting sqref="H22">
    <cfRule type="expression" dxfId="601" priority="727" stopIfTrue="1">
      <formula>WEEKDAY($C22)=7</formula>
    </cfRule>
    <cfRule type="expression" dxfId="600" priority="728" stopIfTrue="1">
      <formula>WEEKDAY($C22)=1</formula>
    </cfRule>
  </conditionalFormatting>
  <conditionalFormatting sqref="L22">
    <cfRule type="expression" dxfId="599" priority="725" stopIfTrue="1">
      <formula>WEEKDAY($C22)=7</formula>
    </cfRule>
    <cfRule type="expression" dxfId="598" priority="726" stopIfTrue="1">
      <formula>WEEKDAY($C22)=1</formula>
    </cfRule>
  </conditionalFormatting>
  <conditionalFormatting sqref="H28">
    <cfRule type="expression" dxfId="597" priority="693" stopIfTrue="1">
      <formula>WEEKDAY($C28)=7</formula>
    </cfRule>
    <cfRule type="expression" dxfId="596" priority="694" stopIfTrue="1">
      <formula>WEEKDAY($C28)=1</formula>
    </cfRule>
  </conditionalFormatting>
  <conditionalFormatting sqref="H28">
    <cfRule type="expression" dxfId="595" priority="691" stopIfTrue="1">
      <formula>WEEKDAY($C28)=7</formula>
    </cfRule>
    <cfRule type="expression" dxfId="594" priority="692" stopIfTrue="1">
      <formula>WEEKDAY($C28)=1</formula>
    </cfRule>
  </conditionalFormatting>
  <conditionalFormatting sqref="H28">
    <cfRule type="expression" dxfId="593" priority="689" stopIfTrue="1">
      <formula>WEEKDAY($C28)=7</formula>
    </cfRule>
    <cfRule type="expression" dxfId="592" priority="690" stopIfTrue="1">
      <formula>WEEKDAY($C28)=1</formula>
    </cfRule>
  </conditionalFormatting>
  <conditionalFormatting sqref="H28">
    <cfRule type="expression" dxfId="591" priority="687" stopIfTrue="1">
      <formula>WEEKDAY($C28)=7</formula>
    </cfRule>
    <cfRule type="expression" dxfId="590" priority="688" stopIfTrue="1">
      <formula>WEEKDAY($C28)=1</formula>
    </cfRule>
  </conditionalFormatting>
  <conditionalFormatting sqref="H28">
    <cfRule type="expression" dxfId="589" priority="685" stopIfTrue="1">
      <formula>WEEKDAY($C28)=7</formula>
    </cfRule>
    <cfRule type="expression" dxfId="588" priority="686" stopIfTrue="1">
      <formula>WEEKDAY($C28)=1</formula>
    </cfRule>
  </conditionalFormatting>
  <conditionalFormatting sqref="H28">
    <cfRule type="expression" dxfId="587" priority="683" stopIfTrue="1">
      <formula>WEEKDAY($C28)=7</formula>
    </cfRule>
    <cfRule type="expression" dxfId="586" priority="684" stopIfTrue="1">
      <formula>WEEKDAY($C28)=1</formula>
    </cfRule>
  </conditionalFormatting>
  <conditionalFormatting sqref="H29">
    <cfRule type="expression" dxfId="585" priority="651" stopIfTrue="1">
      <formula>WEEKDAY($C29)=7</formula>
    </cfRule>
    <cfRule type="expression" dxfId="584" priority="652" stopIfTrue="1">
      <formula>WEEKDAY($C29)=1</formula>
    </cfRule>
  </conditionalFormatting>
  <conditionalFormatting sqref="H29">
    <cfRule type="expression" dxfId="583" priority="649" stopIfTrue="1">
      <formula>WEEKDAY($C29)=7</formula>
    </cfRule>
    <cfRule type="expression" dxfId="582" priority="650" stopIfTrue="1">
      <formula>WEEKDAY($C29)=1</formula>
    </cfRule>
  </conditionalFormatting>
  <conditionalFormatting sqref="H29">
    <cfRule type="expression" dxfId="581" priority="647" stopIfTrue="1">
      <formula>WEEKDAY($C29)=7</formula>
    </cfRule>
    <cfRule type="expression" dxfId="580" priority="648" stopIfTrue="1">
      <formula>WEEKDAY($C29)=1</formula>
    </cfRule>
  </conditionalFormatting>
  <conditionalFormatting sqref="H29">
    <cfRule type="expression" dxfId="579" priority="645" stopIfTrue="1">
      <formula>WEEKDAY($C29)=7</formula>
    </cfRule>
    <cfRule type="expression" dxfId="578" priority="646" stopIfTrue="1">
      <formula>WEEKDAY($C29)=1</formula>
    </cfRule>
  </conditionalFormatting>
  <conditionalFormatting sqref="H29">
    <cfRule type="expression" dxfId="577" priority="643" stopIfTrue="1">
      <formula>WEEKDAY($C29)=7</formula>
    </cfRule>
    <cfRule type="expression" dxfId="576" priority="644" stopIfTrue="1">
      <formula>WEEKDAY($C29)=1</formula>
    </cfRule>
  </conditionalFormatting>
  <conditionalFormatting sqref="H29">
    <cfRule type="expression" dxfId="575" priority="641" stopIfTrue="1">
      <formula>WEEKDAY($C29)=7</formula>
    </cfRule>
    <cfRule type="expression" dxfId="574" priority="642" stopIfTrue="1">
      <formula>WEEKDAY($C29)=1</formula>
    </cfRule>
  </conditionalFormatting>
  <conditionalFormatting sqref="L29">
    <cfRule type="expression" dxfId="573" priority="639" stopIfTrue="1">
      <formula>WEEKDAY($C29)=7</formula>
    </cfRule>
    <cfRule type="expression" dxfId="572" priority="640" stopIfTrue="1">
      <formula>WEEKDAY($C29)=1</formula>
    </cfRule>
  </conditionalFormatting>
  <conditionalFormatting sqref="N34">
    <cfRule type="expression" dxfId="571" priority="609" stopIfTrue="1">
      <formula>WEEKDAY($C34)=7</formula>
    </cfRule>
    <cfRule type="expression" dxfId="570" priority="610" stopIfTrue="1">
      <formula>WEEKDAY($C34)=1</formula>
    </cfRule>
  </conditionalFormatting>
  <conditionalFormatting sqref="N35">
    <cfRule type="expression" dxfId="569" priority="593" stopIfTrue="1">
      <formula>WEEKDAY($C35)=7</formula>
    </cfRule>
    <cfRule type="expression" dxfId="568" priority="594" stopIfTrue="1">
      <formula>WEEKDAY($C35)=1</formula>
    </cfRule>
  </conditionalFormatting>
  <conditionalFormatting sqref="H36">
    <cfRule type="expression" dxfId="567" priority="589" stopIfTrue="1">
      <formula>WEEKDAY($C36)=7</formula>
    </cfRule>
    <cfRule type="expression" dxfId="566" priority="590" stopIfTrue="1">
      <formula>WEEKDAY($C36)=1</formula>
    </cfRule>
  </conditionalFormatting>
  <conditionalFormatting sqref="H36">
    <cfRule type="expression" dxfId="565" priority="587" stopIfTrue="1">
      <formula>WEEKDAY($C36)=7</formula>
    </cfRule>
    <cfRule type="expression" dxfId="564" priority="588" stopIfTrue="1">
      <formula>WEEKDAY($C36)=1</formula>
    </cfRule>
  </conditionalFormatting>
  <conditionalFormatting sqref="H36">
    <cfRule type="expression" dxfId="563" priority="585" stopIfTrue="1">
      <formula>WEEKDAY($C36)=7</formula>
    </cfRule>
    <cfRule type="expression" dxfId="562" priority="586" stopIfTrue="1">
      <formula>WEEKDAY($C36)=1</formula>
    </cfRule>
  </conditionalFormatting>
  <conditionalFormatting sqref="H36">
    <cfRule type="expression" dxfId="561" priority="583" stopIfTrue="1">
      <formula>WEEKDAY($C36)=7</formula>
    </cfRule>
    <cfRule type="expression" dxfId="560" priority="584" stopIfTrue="1">
      <formula>WEEKDAY($C36)=1</formula>
    </cfRule>
  </conditionalFormatting>
  <conditionalFormatting sqref="H36">
    <cfRule type="expression" dxfId="559" priority="581" stopIfTrue="1">
      <formula>WEEKDAY($C36)=7</formula>
    </cfRule>
    <cfRule type="expression" dxfId="558" priority="582" stopIfTrue="1">
      <formula>WEEKDAY($C36)=1</formula>
    </cfRule>
  </conditionalFormatting>
  <conditionalFormatting sqref="H36">
    <cfRule type="expression" dxfId="557" priority="579" stopIfTrue="1">
      <formula>WEEKDAY($C36)=7</formula>
    </cfRule>
    <cfRule type="expression" dxfId="556" priority="580" stopIfTrue="1">
      <formula>WEEKDAY($C36)=1</formula>
    </cfRule>
  </conditionalFormatting>
  <conditionalFormatting sqref="L36">
    <cfRule type="expression" dxfId="555" priority="577" stopIfTrue="1">
      <formula>WEEKDAY($C36)=7</formula>
    </cfRule>
    <cfRule type="expression" dxfId="554" priority="578" stopIfTrue="1">
      <formula>WEEKDAY($C36)=1</formula>
    </cfRule>
  </conditionalFormatting>
  <conditionalFormatting sqref="N36">
    <cfRule type="expression" dxfId="553" priority="575" stopIfTrue="1">
      <formula>WEEKDAY($C36)=7</formula>
    </cfRule>
    <cfRule type="expression" dxfId="552" priority="576" stopIfTrue="1">
      <formula>WEEKDAY($C36)=1</formula>
    </cfRule>
  </conditionalFormatting>
  <conditionalFormatting sqref="H10">
    <cfRule type="expression" dxfId="551" priority="535" stopIfTrue="1">
      <formula>WEEKDAY($C10)=7</formula>
    </cfRule>
    <cfRule type="expression" dxfId="550" priority="536" stopIfTrue="1">
      <formula>WEEKDAY($C10)=1</formula>
    </cfRule>
  </conditionalFormatting>
  <conditionalFormatting sqref="H10">
    <cfRule type="expression" dxfId="549" priority="533" stopIfTrue="1">
      <formula>WEEKDAY($C10)=7</formula>
    </cfRule>
    <cfRule type="expression" dxfId="548" priority="534" stopIfTrue="1">
      <formula>WEEKDAY($C10)=1</formula>
    </cfRule>
  </conditionalFormatting>
  <conditionalFormatting sqref="H10">
    <cfRule type="expression" dxfId="547" priority="531" stopIfTrue="1">
      <formula>WEEKDAY($C10)=7</formula>
    </cfRule>
    <cfRule type="expression" dxfId="546" priority="532" stopIfTrue="1">
      <formula>WEEKDAY($C10)=1</formula>
    </cfRule>
  </conditionalFormatting>
  <conditionalFormatting sqref="H10">
    <cfRule type="expression" dxfId="545" priority="529" stopIfTrue="1">
      <formula>WEEKDAY($C10)=7</formula>
    </cfRule>
    <cfRule type="expression" dxfId="544" priority="530" stopIfTrue="1">
      <formula>WEEKDAY($C10)=1</formula>
    </cfRule>
  </conditionalFormatting>
  <conditionalFormatting sqref="H10">
    <cfRule type="expression" dxfId="543" priority="527" stopIfTrue="1">
      <formula>WEEKDAY($C10)=7</formula>
    </cfRule>
    <cfRule type="expression" dxfId="542" priority="528" stopIfTrue="1">
      <formula>WEEKDAY($C10)=1</formula>
    </cfRule>
  </conditionalFormatting>
  <conditionalFormatting sqref="H10">
    <cfRule type="expression" dxfId="541" priority="525" stopIfTrue="1">
      <formula>WEEKDAY($C10)=7</formula>
    </cfRule>
    <cfRule type="expression" dxfId="540" priority="526" stopIfTrue="1">
      <formula>WEEKDAY($C10)=1</formula>
    </cfRule>
  </conditionalFormatting>
  <conditionalFormatting sqref="L10">
    <cfRule type="expression" dxfId="539" priority="523" stopIfTrue="1">
      <formula>WEEKDAY($C10)=7</formula>
    </cfRule>
    <cfRule type="expression" dxfId="538" priority="524" stopIfTrue="1">
      <formula>WEEKDAY($C10)=1</formula>
    </cfRule>
  </conditionalFormatting>
  <conditionalFormatting sqref="L13">
    <cfRule type="expression" dxfId="537" priority="481" stopIfTrue="1">
      <formula>WEEKDAY($C13)=7</formula>
    </cfRule>
    <cfRule type="expression" dxfId="536" priority="482" stopIfTrue="1">
      <formula>WEEKDAY($C13)=1</formula>
    </cfRule>
  </conditionalFormatting>
  <conditionalFormatting sqref="H14">
    <cfRule type="expression" dxfId="535" priority="477" stopIfTrue="1">
      <formula>WEEKDAY($C14)=7</formula>
    </cfRule>
    <cfRule type="expression" dxfId="534" priority="478" stopIfTrue="1">
      <formula>WEEKDAY($C14)=1</formula>
    </cfRule>
  </conditionalFormatting>
  <conditionalFormatting sqref="H14">
    <cfRule type="expression" dxfId="533" priority="475" stopIfTrue="1">
      <formula>WEEKDAY($C14)=7</formula>
    </cfRule>
    <cfRule type="expression" dxfId="532" priority="476" stopIfTrue="1">
      <formula>WEEKDAY($C14)=1</formula>
    </cfRule>
  </conditionalFormatting>
  <conditionalFormatting sqref="H14">
    <cfRule type="expression" dxfId="531" priority="473" stopIfTrue="1">
      <formula>WEEKDAY($C14)=7</formula>
    </cfRule>
    <cfRule type="expression" dxfId="530" priority="474" stopIfTrue="1">
      <formula>WEEKDAY($C14)=1</formula>
    </cfRule>
  </conditionalFormatting>
  <conditionalFormatting sqref="H14">
    <cfRule type="expression" dxfId="529" priority="471" stopIfTrue="1">
      <formula>WEEKDAY($C14)=7</formula>
    </cfRule>
    <cfRule type="expression" dxfId="528" priority="472" stopIfTrue="1">
      <formula>WEEKDAY($C14)=1</formula>
    </cfRule>
  </conditionalFormatting>
  <conditionalFormatting sqref="H14">
    <cfRule type="expression" dxfId="527" priority="469" stopIfTrue="1">
      <formula>WEEKDAY($C14)=7</formula>
    </cfRule>
    <cfRule type="expression" dxfId="526" priority="470" stopIfTrue="1">
      <formula>WEEKDAY($C14)=1</formula>
    </cfRule>
  </conditionalFormatting>
  <conditionalFormatting sqref="H14">
    <cfRule type="expression" dxfId="525" priority="467" stopIfTrue="1">
      <formula>WEEKDAY($C14)=7</formula>
    </cfRule>
    <cfRule type="expression" dxfId="524" priority="468" stopIfTrue="1">
      <formula>WEEKDAY($C14)=1</formula>
    </cfRule>
  </conditionalFormatting>
  <conditionalFormatting sqref="H21">
    <cfRule type="expression" dxfId="523" priority="445" stopIfTrue="1">
      <formula>WEEKDAY($C21)=7</formula>
    </cfRule>
    <cfRule type="expression" dxfId="522" priority="446" stopIfTrue="1">
      <formula>WEEKDAY($C21)=1</formula>
    </cfRule>
  </conditionalFormatting>
  <conditionalFormatting sqref="H21">
    <cfRule type="expression" dxfId="521" priority="443" stopIfTrue="1">
      <formula>WEEKDAY($C21)=7</formula>
    </cfRule>
    <cfRule type="expression" dxfId="520" priority="444" stopIfTrue="1">
      <formula>WEEKDAY($C21)=1</formula>
    </cfRule>
  </conditionalFormatting>
  <conditionalFormatting sqref="H21">
    <cfRule type="expression" dxfId="519" priority="441" stopIfTrue="1">
      <formula>WEEKDAY($C21)=7</formula>
    </cfRule>
    <cfRule type="expression" dxfId="518" priority="442" stopIfTrue="1">
      <formula>WEEKDAY($C21)=1</formula>
    </cfRule>
  </conditionalFormatting>
  <conditionalFormatting sqref="H21">
    <cfRule type="expression" dxfId="517" priority="439" stopIfTrue="1">
      <formula>WEEKDAY($C21)=7</formula>
    </cfRule>
    <cfRule type="expression" dxfId="516" priority="440" stopIfTrue="1">
      <formula>WEEKDAY($C21)=1</formula>
    </cfRule>
  </conditionalFormatting>
  <conditionalFormatting sqref="H21">
    <cfRule type="expression" dxfId="515" priority="437" stopIfTrue="1">
      <formula>WEEKDAY($C21)=7</formula>
    </cfRule>
    <cfRule type="expression" dxfId="514" priority="438" stopIfTrue="1">
      <formula>WEEKDAY($C21)=1</formula>
    </cfRule>
  </conditionalFormatting>
  <conditionalFormatting sqref="H21">
    <cfRule type="expression" dxfId="513" priority="435" stopIfTrue="1">
      <formula>WEEKDAY($C21)=7</formula>
    </cfRule>
    <cfRule type="expression" dxfId="512" priority="436" stopIfTrue="1">
      <formula>WEEKDAY($C21)=1</formula>
    </cfRule>
  </conditionalFormatting>
  <conditionalFormatting sqref="N26">
    <cfRule type="expression" dxfId="511" priority="417" stopIfTrue="1">
      <formula>WEEKDAY($C26)=7</formula>
    </cfRule>
    <cfRule type="expression" dxfId="510" priority="418" stopIfTrue="1">
      <formula>WEEKDAY($C26)=1</formula>
    </cfRule>
  </conditionalFormatting>
  <conditionalFormatting sqref="H33">
    <cfRule type="expression" dxfId="509" priority="401" stopIfTrue="1">
      <formula>WEEKDAY($C33)=7</formula>
    </cfRule>
    <cfRule type="expression" dxfId="508" priority="402" stopIfTrue="1">
      <formula>WEEKDAY($C33)=1</formula>
    </cfRule>
  </conditionalFormatting>
  <conditionalFormatting sqref="H33">
    <cfRule type="expression" dxfId="507" priority="399" stopIfTrue="1">
      <formula>WEEKDAY($C33)=7</formula>
    </cfRule>
    <cfRule type="expression" dxfId="506" priority="400" stopIfTrue="1">
      <formula>WEEKDAY($C33)=1</formula>
    </cfRule>
  </conditionalFormatting>
  <conditionalFormatting sqref="H33">
    <cfRule type="expression" dxfId="505" priority="397" stopIfTrue="1">
      <formula>WEEKDAY($C33)=7</formula>
    </cfRule>
    <cfRule type="expression" dxfId="504" priority="398" stopIfTrue="1">
      <formula>WEEKDAY($C33)=1</formula>
    </cfRule>
  </conditionalFormatting>
  <conditionalFormatting sqref="H33">
    <cfRule type="expression" dxfId="503" priority="395" stopIfTrue="1">
      <formula>WEEKDAY($C33)=7</formula>
    </cfRule>
    <cfRule type="expression" dxfId="502" priority="396" stopIfTrue="1">
      <formula>WEEKDAY($C33)=1</formula>
    </cfRule>
  </conditionalFormatting>
  <conditionalFormatting sqref="H33">
    <cfRule type="expression" dxfId="501" priority="393" stopIfTrue="1">
      <formula>WEEKDAY($C33)=7</formula>
    </cfRule>
    <cfRule type="expression" dxfId="500" priority="394" stopIfTrue="1">
      <formula>WEEKDAY($C33)=1</formula>
    </cfRule>
  </conditionalFormatting>
  <conditionalFormatting sqref="H33">
    <cfRule type="expression" dxfId="499" priority="391" stopIfTrue="1">
      <formula>WEEKDAY($C33)=7</formula>
    </cfRule>
    <cfRule type="expression" dxfId="498" priority="392" stopIfTrue="1">
      <formula>WEEKDAY($C33)=1</formula>
    </cfRule>
  </conditionalFormatting>
  <conditionalFormatting sqref="N24">
    <cfRule type="expression" dxfId="497" priority="359" stopIfTrue="1">
      <formula>WEEKDAY($C24)=7</formula>
    </cfRule>
    <cfRule type="expression" dxfId="496" priority="360" stopIfTrue="1">
      <formula>WEEKDAY($C24)=1</formula>
    </cfRule>
  </conditionalFormatting>
  <conditionalFormatting sqref="N25">
    <cfRule type="expression" dxfId="495" priority="357" stopIfTrue="1">
      <formula>WEEKDAY($C25)=7</formula>
    </cfRule>
    <cfRule type="expression" dxfId="494" priority="358" stopIfTrue="1">
      <formula>WEEKDAY($C25)=1</formula>
    </cfRule>
  </conditionalFormatting>
  <conditionalFormatting sqref="L21">
    <cfRule type="expression" dxfId="493" priority="329" stopIfTrue="1">
      <formula>WEEKDAY($C21)=7</formula>
    </cfRule>
    <cfRule type="expression" dxfId="492" priority="330" stopIfTrue="1">
      <formula>WEEKDAY($C21)=1</formula>
    </cfRule>
  </conditionalFormatting>
  <conditionalFormatting sqref="L20">
    <cfRule type="expression" dxfId="491" priority="327" stopIfTrue="1">
      <formula>WEEKDAY($C20)=7</formula>
    </cfRule>
    <cfRule type="expression" dxfId="490" priority="328" stopIfTrue="1">
      <formula>WEEKDAY($C20)=1</formula>
    </cfRule>
  </conditionalFormatting>
  <conditionalFormatting sqref="L14">
    <cfRule type="expression" dxfId="489" priority="311" stopIfTrue="1">
      <formula>WEEKDAY($C14)=7</formula>
    </cfRule>
    <cfRule type="expression" dxfId="488" priority="312" stopIfTrue="1">
      <formula>WEEKDAY($C14)=1</formula>
    </cfRule>
  </conditionalFormatting>
  <conditionalFormatting sqref="L27">
    <cfRule type="expression" dxfId="487" priority="307" stopIfTrue="1">
      <formula>WEEKDAY($C27)=7</formula>
    </cfRule>
    <cfRule type="expression" dxfId="486" priority="308" stopIfTrue="1">
      <formula>WEEKDAY($C27)=1</formula>
    </cfRule>
  </conditionalFormatting>
  <conditionalFormatting sqref="L28">
    <cfRule type="expression" dxfId="485" priority="303" stopIfTrue="1">
      <formula>WEEKDAY($C28)=7</formula>
    </cfRule>
    <cfRule type="expression" dxfId="484" priority="304" stopIfTrue="1">
      <formula>WEEKDAY($C28)=1</formula>
    </cfRule>
  </conditionalFormatting>
  <conditionalFormatting sqref="L32">
    <cfRule type="expression" dxfId="483" priority="301" stopIfTrue="1">
      <formula>WEEKDAY($C32)=7</formula>
    </cfRule>
    <cfRule type="expression" dxfId="482" priority="302" stopIfTrue="1">
      <formula>WEEKDAY($C32)=1</formula>
    </cfRule>
  </conditionalFormatting>
  <conditionalFormatting sqref="L33">
    <cfRule type="expression" dxfId="481" priority="299" stopIfTrue="1">
      <formula>WEEKDAY($C33)=7</formula>
    </cfRule>
    <cfRule type="expression" dxfId="480" priority="300" stopIfTrue="1">
      <formula>WEEKDAY($C33)=1</formula>
    </cfRule>
  </conditionalFormatting>
  <conditionalFormatting sqref="H34">
    <cfRule type="expression" dxfId="479" priority="297" stopIfTrue="1">
      <formula>WEEKDAY($C34)=7</formula>
    </cfRule>
    <cfRule type="expression" dxfId="478" priority="298" stopIfTrue="1">
      <formula>WEEKDAY($C34)=1</formula>
    </cfRule>
  </conditionalFormatting>
  <conditionalFormatting sqref="H34">
    <cfRule type="expression" dxfId="477" priority="295" stopIfTrue="1">
      <formula>WEEKDAY($C34)=7</formula>
    </cfRule>
    <cfRule type="expression" dxfId="476" priority="296" stopIfTrue="1">
      <formula>WEEKDAY($C34)=1</formula>
    </cfRule>
  </conditionalFormatting>
  <conditionalFormatting sqref="H34">
    <cfRule type="expression" dxfId="475" priority="293" stopIfTrue="1">
      <formula>WEEKDAY($C34)=7</formula>
    </cfRule>
    <cfRule type="expression" dxfId="474" priority="294" stopIfTrue="1">
      <formula>WEEKDAY($C34)=1</formula>
    </cfRule>
  </conditionalFormatting>
  <conditionalFormatting sqref="H34">
    <cfRule type="expression" dxfId="473" priority="291" stopIfTrue="1">
      <formula>WEEKDAY($C34)=7</formula>
    </cfRule>
    <cfRule type="expression" dxfId="472" priority="292" stopIfTrue="1">
      <formula>WEEKDAY($C34)=1</formula>
    </cfRule>
  </conditionalFormatting>
  <conditionalFormatting sqref="H34">
    <cfRule type="expression" dxfId="471" priority="289" stopIfTrue="1">
      <formula>WEEKDAY($C34)=7</formula>
    </cfRule>
    <cfRule type="expression" dxfId="470" priority="290" stopIfTrue="1">
      <formula>WEEKDAY($C34)=1</formula>
    </cfRule>
  </conditionalFormatting>
  <conditionalFormatting sqref="H34">
    <cfRule type="expression" dxfId="469" priority="287" stopIfTrue="1">
      <formula>WEEKDAY($C34)=7</formula>
    </cfRule>
    <cfRule type="expression" dxfId="468" priority="288" stopIfTrue="1">
      <formula>WEEKDAY($C34)=1</formula>
    </cfRule>
  </conditionalFormatting>
  <conditionalFormatting sqref="H35">
    <cfRule type="expression" dxfId="467" priority="283" stopIfTrue="1">
      <formula>WEEKDAY($C35)=7</formula>
    </cfRule>
    <cfRule type="expression" dxfId="466" priority="284" stopIfTrue="1">
      <formula>WEEKDAY($C35)=1</formula>
    </cfRule>
  </conditionalFormatting>
  <conditionalFormatting sqref="H35">
    <cfRule type="expression" dxfId="465" priority="281" stopIfTrue="1">
      <formula>WEEKDAY($C35)=7</formula>
    </cfRule>
    <cfRule type="expression" dxfId="464" priority="282" stopIfTrue="1">
      <formula>WEEKDAY($C35)=1</formula>
    </cfRule>
  </conditionalFormatting>
  <conditionalFormatting sqref="H35">
    <cfRule type="expression" dxfId="463" priority="279" stopIfTrue="1">
      <formula>WEEKDAY($C35)=7</formula>
    </cfRule>
    <cfRule type="expression" dxfId="462" priority="280" stopIfTrue="1">
      <formula>WEEKDAY($C35)=1</formula>
    </cfRule>
  </conditionalFormatting>
  <conditionalFormatting sqref="H35">
    <cfRule type="expression" dxfId="461" priority="277" stopIfTrue="1">
      <formula>WEEKDAY($C35)=7</formula>
    </cfRule>
    <cfRule type="expression" dxfId="460" priority="278" stopIfTrue="1">
      <formula>WEEKDAY($C35)=1</formula>
    </cfRule>
  </conditionalFormatting>
  <conditionalFormatting sqref="H35">
    <cfRule type="expression" dxfId="459" priority="275" stopIfTrue="1">
      <formula>WEEKDAY($C35)=7</formula>
    </cfRule>
    <cfRule type="expression" dxfId="458" priority="276" stopIfTrue="1">
      <formula>WEEKDAY($C35)=1</formula>
    </cfRule>
  </conditionalFormatting>
  <conditionalFormatting sqref="H35">
    <cfRule type="expression" dxfId="457" priority="273" stopIfTrue="1">
      <formula>WEEKDAY($C35)=7</formula>
    </cfRule>
    <cfRule type="expression" dxfId="456" priority="274" stopIfTrue="1">
      <formula>WEEKDAY($C35)=1</formula>
    </cfRule>
  </conditionalFormatting>
  <conditionalFormatting sqref="L35">
    <cfRule type="expression" dxfId="455" priority="271" stopIfTrue="1">
      <formula>WEEKDAY($C35)=7</formula>
    </cfRule>
    <cfRule type="expression" dxfId="454" priority="272" stopIfTrue="1">
      <formula>WEEKDAY($C35)=1</formula>
    </cfRule>
  </conditionalFormatting>
  <conditionalFormatting sqref="H9">
    <cfRule type="expression" dxfId="453" priority="267" stopIfTrue="1">
      <formula>WEEKDAY($C9)=7</formula>
    </cfRule>
    <cfRule type="expression" dxfId="452" priority="268" stopIfTrue="1">
      <formula>WEEKDAY($C9)=1</formula>
    </cfRule>
  </conditionalFormatting>
  <conditionalFormatting sqref="H9">
    <cfRule type="expression" dxfId="451" priority="265" stopIfTrue="1">
      <formula>WEEKDAY($C9)=7</formula>
    </cfRule>
    <cfRule type="expression" dxfId="450" priority="266" stopIfTrue="1">
      <formula>WEEKDAY($C9)=1</formula>
    </cfRule>
  </conditionalFormatting>
  <conditionalFormatting sqref="H9">
    <cfRule type="expression" dxfId="449" priority="263" stopIfTrue="1">
      <formula>WEEKDAY($C9)=7</formula>
    </cfRule>
    <cfRule type="expression" dxfId="448" priority="264" stopIfTrue="1">
      <formula>WEEKDAY($C9)=1</formula>
    </cfRule>
  </conditionalFormatting>
  <conditionalFormatting sqref="H9">
    <cfRule type="expression" dxfId="447" priority="261" stopIfTrue="1">
      <formula>WEEKDAY($C9)=7</formula>
    </cfRule>
    <cfRule type="expression" dxfId="446" priority="262" stopIfTrue="1">
      <formula>WEEKDAY($C9)=1</formula>
    </cfRule>
  </conditionalFormatting>
  <conditionalFormatting sqref="H9">
    <cfRule type="expression" dxfId="445" priority="259" stopIfTrue="1">
      <formula>WEEKDAY($C9)=7</formula>
    </cfRule>
    <cfRule type="expression" dxfId="444" priority="260" stopIfTrue="1">
      <formula>WEEKDAY($C9)=1</formula>
    </cfRule>
  </conditionalFormatting>
  <conditionalFormatting sqref="H9">
    <cfRule type="expression" dxfId="443" priority="257" stopIfTrue="1">
      <formula>WEEKDAY($C9)=7</formula>
    </cfRule>
    <cfRule type="expression" dxfId="442" priority="258" stopIfTrue="1">
      <formula>WEEKDAY($C9)=1</formula>
    </cfRule>
  </conditionalFormatting>
  <conditionalFormatting sqref="L9">
    <cfRule type="expression" dxfId="441" priority="255" stopIfTrue="1">
      <formula>WEEKDAY($C9)=7</formula>
    </cfRule>
    <cfRule type="expression" dxfId="440" priority="256" stopIfTrue="1">
      <formula>WEEKDAY($C9)=1</formula>
    </cfRule>
  </conditionalFormatting>
  <conditionalFormatting sqref="L11">
    <cfRule type="expression" dxfId="439" priority="253" stopIfTrue="1">
      <formula>WEEKDAY($C11)=7</formula>
    </cfRule>
    <cfRule type="expression" dxfId="438" priority="254" stopIfTrue="1">
      <formula>WEEKDAY($C11)=1</formula>
    </cfRule>
  </conditionalFormatting>
  <conditionalFormatting sqref="H11">
    <cfRule type="expression" dxfId="437" priority="251" stopIfTrue="1">
      <formula>WEEKDAY($C11)=7</formula>
    </cfRule>
    <cfRule type="expression" dxfId="436" priority="252" stopIfTrue="1">
      <formula>WEEKDAY($C11)=1</formula>
    </cfRule>
  </conditionalFormatting>
  <conditionalFormatting sqref="H11">
    <cfRule type="expression" dxfId="435" priority="249" stopIfTrue="1">
      <formula>WEEKDAY($C11)=7</formula>
    </cfRule>
    <cfRule type="expression" dxfId="434" priority="250" stopIfTrue="1">
      <formula>WEEKDAY($C11)=1</formula>
    </cfRule>
  </conditionalFormatting>
  <conditionalFormatting sqref="H11">
    <cfRule type="expression" dxfId="433" priority="247" stopIfTrue="1">
      <formula>WEEKDAY($C11)=7</formula>
    </cfRule>
    <cfRule type="expression" dxfId="432" priority="248" stopIfTrue="1">
      <formula>WEEKDAY($C11)=1</formula>
    </cfRule>
  </conditionalFormatting>
  <conditionalFormatting sqref="H11">
    <cfRule type="expression" dxfId="431" priority="245" stopIfTrue="1">
      <formula>WEEKDAY($C11)=7</formula>
    </cfRule>
    <cfRule type="expression" dxfId="430" priority="246" stopIfTrue="1">
      <formula>WEEKDAY($C11)=1</formula>
    </cfRule>
  </conditionalFormatting>
  <conditionalFormatting sqref="H11">
    <cfRule type="expression" dxfId="429" priority="243" stopIfTrue="1">
      <formula>WEEKDAY($C11)=7</formula>
    </cfRule>
    <cfRule type="expression" dxfId="428" priority="244" stopIfTrue="1">
      <formula>WEEKDAY($C11)=1</formula>
    </cfRule>
  </conditionalFormatting>
  <conditionalFormatting sqref="H11">
    <cfRule type="expression" dxfId="427" priority="241" stopIfTrue="1">
      <formula>WEEKDAY($C11)=7</formula>
    </cfRule>
    <cfRule type="expression" dxfId="426" priority="242" stopIfTrue="1">
      <formula>WEEKDAY($C11)=1</formula>
    </cfRule>
  </conditionalFormatting>
  <conditionalFormatting sqref="H12">
    <cfRule type="expression" dxfId="425" priority="239" stopIfTrue="1">
      <formula>WEEKDAY($C12)=7</formula>
    </cfRule>
    <cfRule type="expression" dxfId="424" priority="240" stopIfTrue="1">
      <formula>WEEKDAY($C12)=1</formula>
    </cfRule>
  </conditionalFormatting>
  <conditionalFormatting sqref="H12">
    <cfRule type="expression" dxfId="423" priority="237" stopIfTrue="1">
      <formula>WEEKDAY($C12)=7</formula>
    </cfRule>
    <cfRule type="expression" dxfId="422" priority="238" stopIfTrue="1">
      <formula>WEEKDAY($C12)=1</formula>
    </cfRule>
  </conditionalFormatting>
  <conditionalFormatting sqref="H12">
    <cfRule type="expression" dxfId="421" priority="235" stopIfTrue="1">
      <formula>WEEKDAY($C12)=7</formula>
    </cfRule>
    <cfRule type="expression" dxfId="420" priority="236" stopIfTrue="1">
      <formula>WEEKDAY($C12)=1</formula>
    </cfRule>
  </conditionalFormatting>
  <conditionalFormatting sqref="H12">
    <cfRule type="expression" dxfId="419" priority="233" stopIfTrue="1">
      <formula>WEEKDAY($C12)=7</formula>
    </cfRule>
    <cfRule type="expression" dxfId="418" priority="234" stopIfTrue="1">
      <formula>WEEKDAY($C12)=1</formula>
    </cfRule>
  </conditionalFormatting>
  <conditionalFormatting sqref="H12">
    <cfRule type="expression" dxfId="417" priority="231" stopIfTrue="1">
      <formula>WEEKDAY($C12)=7</formula>
    </cfRule>
    <cfRule type="expression" dxfId="416" priority="232" stopIfTrue="1">
      <formula>WEEKDAY($C12)=1</formula>
    </cfRule>
  </conditionalFormatting>
  <conditionalFormatting sqref="H12">
    <cfRule type="expression" dxfId="415" priority="229" stopIfTrue="1">
      <formula>WEEKDAY($C12)=7</formula>
    </cfRule>
    <cfRule type="expression" dxfId="414" priority="230" stopIfTrue="1">
      <formula>WEEKDAY($C12)=1</formula>
    </cfRule>
  </conditionalFormatting>
  <conditionalFormatting sqref="H13">
    <cfRule type="expression" dxfId="413" priority="227" stopIfTrue="1">
      <formula>WEEKDAY($C13)=7</formula>
    </cfRule>
    <cfRule type="expression" dxfId="412" priority="228" stopIfTrue="1">
      <formula>WEEKDAY($C13)=1</formula>
    </cfRule>
  </conditionalFormatting>
  <conditionalFormatting sqref="H13">
    <cfRule type="expression" dxfId="411" priority="225" stopIfTrue="1">
      <formula>WEEKDAY($C13)=7</formula>
    </cfRule>
    <cfRule type="expression" dxfId="410" priority="226" stopIfTrue="1">
      <formula>WEEKDAY($C13)=1</formula>
    </cfRule>
  </conditionalFormatting>
  <conditionalFormatting sqref="H13">
    <cfRule type="expression" dxfId="409" priority="223" stopIfTrue="1">
      <formula>WEEKDAY($C13)=7</formula>
    </cfRule>
    <cfRule type="expression" dxfId="408" priority="224" stopIfTrue="1">
      <formula>WEEKDAY($C13)=1</formula>
    </cfRule>
  </conditionalFormatting>
  <conditionalFormatting sqref="H13">
    <cfRule type="expression" dxfId="407" priority="221" stopIfTrue="1">
      <formula>WEEKDAY($C13)=7</formula>
    </cfRule>
    <cfRule type="expression" dxfId="406" priority="222" stopIfTrue="1">
      <formula>WEEKDAY($C13)=1</formula>
    </cfRule>
  </conditionalFormatting>
  <conditionalFormatting sqref="H13">
    <cfRule type="expression" dxfId="405" priority="219" stopIfTrue="1">
      <formula>WEEKDAY($C13)=7</formula>
    </cfRule>
    <cfRule type="expression" dxfId="404" priority="220" stopIfTrue="1">
      <formula>WEEKDAY($C13)=1</formula>
    </cfRule>
  </conditionalFormatting>
  <conditionalFormatting sqref="H13">
    <cfRule type="expression" dxfId="403" priority="217" stopIfTrue="1">
      <formula>WEEKDAY($C13)=7</formula>
    </cfRule>
    <cfRule type="expression" dxfId="402" priority="218" stopIfTrue="1">
      <formula>WEEKDAY($C13)=1</formula>
    </cfRule>
  </conditionalFormatting>
  <conditionalFormatting sqref="L12">
    <cfRule type="expression" dxfId="401" priority="215" stopIfTrue="1">
      <formula>WEEKDAY($C12)=7</formula>
    </cfRule>
    <cfRule type="expression" dxfId="400" priority="216" stopIfTrue="1">
      <formula>WEEKDAY($C12)=1</formula>
    </cfRule>
  </conditionalFormatting>
  <conditionalFormatting sqref="H16">
    <cfRule type="expression" dxfId="399" priority="213" stopIfTrue="1">
      <formula>WEEKDAY($C16)=7</formula>
    </cfRule>
    <cfRule type="expression" dxfId="398" priority="214" stopIfTrue="1">
      <formula>WEEKDAY($C16)=1</formula>
    </cfRule>
  </conditionalFormatting>
  <conditionalFormatting sqref="H16">
    <cfRule type="expression" dxfId="397" priority="211" stopIfTrue="1">
      <formula>WEEKDAY($C16)=7</formula>
    </cfRule>
    <cfRule type="expression" dxfId="396" priority="212" stopIfTrue="1">
      <formula>WEEKDAY($C16)=1</formula>
    </cfRule>
  </conditionalFormatting>
  <conditionalFormatting sqref="H16">
    <cfRule type="expression" dxfId="395" priority="209" stopIfTrue="1">
      <formula>WEEKDAY($C16)=7</formula>
    </cfRule>
    <cfRule type="expression" dxfId="394" priority="210" stopIfTrue="1">
      <formula>WEEKDAY($C16)=1</formula>
    </cfRule>
  </conditionalFormatting>
  <conditionalFormatting sqref="H16">
    <cfRule type="expression" dxfId="393" priority="207" stopIfTrue="1">
      <formula>WEEKDAY($C16)=7</formula>
    </cfRule>
    <cfRule type="expression" dxfId="392" priority="208" stopIfTrue="1">
      <formula>WEEKDAY($C16)=1</formula>
    </cfRule>
  </conditionalFormatting>
  <conditionalFormatting sqref="H16">
    <cfRule type="expression" dxfId="391" priority="205" stopIfTrue="1">
      <formula>WEEKDAY($C16)=7</formula>
    </cfRule>
    <cfRule type="expression" dxfId="390" priority="206" stopIfTrue="1">
      <formula>WEEKDAY($C16)=1</formula>
    </cfRule>
  </conditionalFormatting>
  <conditionalFormatting sqref="H16">
    <cfRule type="expression" dxfId="389" priority="203" stopIfTrue="1">
      <formula>WEEKDAY($C16)=7</formula>
    </cfRule>
    <cfRule type="expression" dxfId="388" priority="204" stopIfTrue="1">
      <formula>WEEKDAY($C16)=1</formula>
    </cfRule>
  </conditionalFormatting>
  <conditionalFormatting sqref="H17">
    <cfRule type="expression" dxfId="387" priority="201" stopIfTrue="1">
      <formula>WEEKDAY($C17)=7</formula>
    </cfRule>
    <cfRule type="expression" dxfId="386" priority="202" stopIfTrue="1">
      <formula>WEEKDAY($C17)=1</formula>
    </cfRule>
  </conditionalFormatting>
  <conditionalFormatting sqref="H17">
    <cfRule type="expression" dxfId="385" priority="199" stopIfTrue="1">
      <formula>WEEKDAY($C17)=7</formula>
    </cfRule>
    <cfRule type="expression" dxfId="384" priority="200" stopIfTrue="1">
      <formula>WEEKDAY($C17)=1</formula>
    </cfRule>
  </conditionalFormatting>
  <conditionalFormatting sqref="H17">
    <cfRule type="expression" dxfId="383" priority="197" stopIfTrue="1">
      <formula>WEEKDAY($C17)=7</formula>
    </cfRule>
    <cfRule type="expression" dxfId="382" priority="198" stopIfTrue="1">
      <formula>WEEKDAY($C17)=1</formula>
    </cfRule>
  </conditionalFormatting>
  <conditionalFormatting sqref="H17">
    <cfRule type="expression" dxfId="381" priority="195" stopIfTrue="1">
      <formula>WEEKDAY($C17)=7</formula>
    </cfRule>
    <cfRule type="expression" dxfId="380" priority="196" stopIfTrue="1">
      <formula>WEEKDAY($C17)=1</formula>
    </cfRule>
  </conditionalFormatting>
  <conditionalFormatting sqref="H17">
    <cfRule type="expression" dxfId="379" priority="193" stopIfTrue="1">
      <formula>WEEKDAY($C17)=7</formula>
    </cfRule>
    <cfRule type="expression" dxfId="378" priority="194" stopIfTrue="1">
      <formula>WEEKDAY($C17)=1</formula>
    </cfRule>
  </conditionalFormatting>
  <conditionalFormatting sqref="H17">
    <cfRule type="expression" dxfId="377" priority="191" stopIfTrue="1">
      <formula>WEEKDAY($C17)=7</formula>
    </cfRule>
    <cfRule type="expression" dxfId="376" priority="192" stopIfTrue="1">
      <formula>WEEKDAY($C17)=1</formula>
    </cfRule>
  </conditionalFormatting>
  <conditionalFormatting sqref="H18">
    <cfRule type="expression" dxfId="375" priority="189" stopIfTrue="1">
      <formula>WEEKDAY($C18)=7</formula>
    </cfRule>
    <cfRule type="expression" dxfId="374" priority="190" stopIfTrue="1">
      <formula>WEEKDAY($C18)=1</formula>
    </cfRule>
  </conditionalFormatting>
  <conditionalFormatting sqref="H18">
    <cfRule type="expression" dxfId="373" priority="187" stopIfTrue="1">
      <formula>WEEKDAY($C18)=7</formula>
    </cfRule>
    <cfRule type="expression" dxfId="372" priority="188" stopIfTrue="1">
      <formula>WEEKDAY($C18)=1</formula>
    </cfRule>
  </conditionalFormatting>
  <conditionalFormatting sqref="H18">
    <cfRule type="expression" dxfId="371" priority="185" stopIfTrue="1">
      <formula>WEEKDAY($C18)=7</formula>
    </cfRule>
    <cfRule type="expression" dxfId="370" priority="186" stopIfTrue="1">
      <formula>WEEKDAY($C18)=1</formula>
    </cfRule>
  </conditionalFormatting>
  <conditionalFormatting sqref="H18">
    <cfRule type="expression" dxfId="369" priority="183" stopIfTrue="1">
      <formula>WEEKDAY($C18)=7</formula>
    </cfRule>
    <cfRule type="expression" dxfId="368" priority="184" stopIfTrue="1">
      <formula>WEEKDAY($C18)=1</formula>
    </cfRule>
  </conditionalFormatting>
  <conditionalFormatting sqref="H18">
    <cfRule type="expression" dxfId="367" priority="181" stopIfTrue="1">
      <formula>WEEKDAY($C18)=7</formula>
    </cfRule>
    <cfRule type="expression" dxfId="366" priority="182" stopIfTrue="1">
      <formula>WEEKDAY($C18)=1</formula>
    </cfRule>
  </conditionalFormatting>
  <conditionalFormatting sqref="H18">
    <cfRule type="expression" dxfId="365" priority="179" stopIfTrue="1">
      <formula>WEEKDAY($C18)=7</formula>
    </cfRule>
    <cfRule type="expression" dxfId="364" priority="180" stopIfTrue="1">
      <formula>WEEKDAY($C18)=1</formula>
    </cfRule>
  </conditionalFormatting>
  <conditionalFormatting sqref="H19">
    <cfRule type="expression" dxfId="363" priority="177" stopIfTrue="1">
      <formula>WEEKDAY($C19)=7</formula>
    </cfRule>
    <cfRule type="expression" dxfId="362" priority="178" stopIfTrue="1">
      <formula>WEEKDAY($C19)=1</formula>
    </cfRule>
  </conditionalFormatting>
  <conditionalFormatting sqref="H19">
    <cfRule type="expression" dxfId="361" priority="175" stopIfTrue="1">
      <formula>WEEKDAY($C19)=7</formula>
    </cfRule>
    <cfRule type="expression" dxfId="360" priority="176" stopIfTrue="1">
      <formula>WEEKDAY($C19)=1</formula>
    </cfRule>
  </conditionalFormatting>
  <conditionalFormatting sqref="H19">
    <cfRule type="expression" dxfId="359" priority="173" stopIfTrue="1">
      <formula>WEEKDAY($C19)=7</formula>
    </cfRule>
    <cfRule type="expression" dxfId="358" priority="174" stopIfTrue="1">
      <formula>WEEKDAY($C19)=1</formula>
    </cfRule>
  </conditionalFormatting>
  <conditionalFormatting sqref="H19">
    <cfRule type="expression" dxfId="357" priority="171" stopIfTrue="1">
      <formula>WEEKDAY($C19)=7</formula>
    </cfRule>
    <cfRule type="expression" dxfId="356" priority="172" stopIfTrue="1">
      <formula>WEEKDAY($C19)=1</formula>
    </cfRule>
  </conditionalFormatting>
  <conditionalFormatting sqref="H19">
    <cfRule type="expression" dxfId="355" priority="169" stopIfTrue="1">
      <formula>WEEKDAY($C19)=7</formula>
    </cfRule>
    <cfRule type="expression" dxfId="354" priority="170" stopIfTrue="1">
      <formula>WEEKDAY($C19)=1</formula>
    </cfRule>
  </conditionalFormatting>
  <conditionalFormatting sqref="H19">
    <cfRule type="expression" dxfId="353" priority="167" stopIfTrue="1">
      <formula>WEEKDAY($C19)=7</formula>
    </cfRule>
    <cfRule type="expression" dxfId="352" priority="168" stopIfTrue="1">
      <formula>WEEKDAY($C19)=1</formula>
    </cfRule>
  </conditionalFormatting>
  <conditionalFormatting sqref="H20">
    <cfRule type="expression" dxfId="351" priority="165" stopIfTrue="1">
      <formula>WEEKDAY($C20)=7</formula>
    </cfRule>
    <cfRule type="expression" dxfId="350" priority="166" stopIfTrue="1">
      <formula>WEEKDAY($C20)=1</formula>
    </cfRule>
  </conditionalFormatting>
  <conditionalFormatting sqref="H20">
    <cfRule type="expression" dxfId="349" priority="163" stopIfTrue="1">
      <formula>WEEKDAY($C20)=7</formula>
    </cfRule>
    <cfRule type="expression" dxfId="348" priority="164" stopIfTrue="1">
      <formula>WEEKDAY($C20)=1</formula>
    </cfRule>
  </conditionalFormatting>
  <conditionalFormatting sqref="H20">
    <cfRule type="expression" dxfId="347" priority="161" stopIfTrue="1">
      <formula>WEEKDAY($C20)=7</formula>
    </cfRule>
    <cfRule type="expression" dxfId="346" priority="162" stopIfTrue="1">
      <formula>WEEKDAY($C20)=1</formula>
    </cfRule>
  </conditionalFormatting>
  <conditionalFormatting sqref="H20">
    <cfRule type="expression" dxfId="345" priority="159" stopIfTrue="1">
      <formula>WEEKDAY($C20)=7</formula>
    </cfRule>
    <cfRule type="expression" dxfId="344" priority="160" stopIfTrue="1">
      <formula>WEEKDAY($C20)=1</formula>
    </cfRule>
  </conditionalFormatting>
  <conditionalFormatting sqref="H20">
    <cfRule type="expression" dxfId="343" priority="157" stopIfTrue="1">
      <formula>WEEKDAY($C20)=7</formula>
    </cfRule>
    <cfRule type="expression" dxfId="342" priority="158" stopIfTrue="1">
      <formula>WEEKDAY($C20)=1</formula>
    </cfRule>
  </conditionalFormatting>
  <conditionalFormatting sqref="H20">
    <cfRule type="expression" dxfId="341" priority="155" stopIfTrue="1">
      <formula>WEEKDAY($C20)=7</formula>
    </cfRule>
    <cfRule type="expression" dxfId="340" priority="156" stopIfTrue="1">
      <formula>WEEKDAY($C20)=1</formula>
    </cfRule>
  </conditionalFormatting>
  <conditionalFormatting sqref="H23">
    <cfRule type="expression" dxfId="339" priority="153" stopIfTrue="1">
      <formula>WEEKDAY($C23)=7</formula>
    </cfRule>
    <cfRule type="expression" dxfId="338" priority="154" stopIfTrue="1">
      <formula>WEEKDAY($C23)=1</formula>
    </cfRule>
  </conditionalFormatting>
  <conditionalFormatting sqref="H23">
    <cfRule type="expression" dxfId="337" priority="151" stopIfTrue="1">
      <formula>WEEKDAY($C23)=7</formula>
    </cfRule>
    <cfRule type="expression" dxfId="336" priority="152" stopIfTrue="1">
      <formula>WEEKDAY($C23)=1</formula>
    </cfRule>
  </conditionalFormatting>
  <conditionalFormatting sqref="H23">
    <cfRule type="expression" dxfId="335" priority="149" stopIfTrue="1">
      <formula>WEEKDAY($C23)=7</formula>
    </cfRule>
    <cfRule type="expression" dxfId="334" priority="150" stopIfTrue="1">
      <formula>WEEKDAY($C23)=1</formula>
    </cfRule>
  </conditionalFormatting>
  <conditionalFormatting sqref="H23">
    <cfRule type="expression" dxfId="333" priority="147" stopIfTrue="1">
      <formula>WEEKDAY($C23)=7</formula>
    </cfRule>
    <cfRule type="expression" dxfId="332" priority="148" stopIfTrue="1">
      <formula>WEEKDAY($C23)=1</formula>
    </cfRule>
  </conditionalFormatting>
  <conditionalFormatting sqref="H23">
    <cfRule type="expression" dxfId="331" priority="145" stopIfTrue="1">
      <formula>WEEKDAY($C23)=7</formula>
    </cfRule>
    <cfRule type="expression" dxfId="330" priority="146" stopIfTrue="1">
      <formula>WEEKDAY($C23)=1</formula>
    </cfRule>
  </conditionalFormatting>
  <conditionalFormatting sqref="H23">
    <cfRule type="expression" dxfId="329" priority="143" stopIfTrue="1">
      <formula>WEEKDAY($C23)=7</formula>
    </cfRule>
    <cfRule type="expression" dxfId="328" priority="144" stopIfTrue="1">
      <formula>WEEKDAY($C23)=1</formula>
    </cfRule>
  </conditionalFormatting>
  <conditionalFormatting sqref="H24">
    <cfRule type="expression" dxfId="327" priority="141" stopIfTrue="1">
      <formula>WEEKDAY($C24)=7</formula>
    </cfRule>
    <cfRule type="expression" dxfId="326" priority="142" stopIfTrue="1">
      <formula>WEEKDAY($C24)=1</formula>
    </cfRule>
  </conditionalFormatting>
  <conditionalFormatting sqref="H24">
    <cfRule type="expression" dxfId="325" priority="139" stopIfTrue="1">
      <formula>WEEKDAY($C24)=7</formula>
    </cfRule>
    <cfRule type="expression" dxfId="324" priority="140" stopIfTrue="1">
      <formula>WEEKDAY($C24)=1</formula>
    </cfRule>
  </conditionalFormatting>
  <conditionalFormatting sqref="H24">
    <cfRule type="expression" dxfId="323" priority="137" stopIfTrue="1">
      <formula>WEEKDAY($C24)=7</formula>
    </cfRule>
    <cfRule type="expression" dxfId="322" priority="138" stopIfTrue="1">
      <formula>WEEKDAY($C24)=1</formula>
    </cfRule>
  </conditionalFormatting>
  <conditionalFormatting sqref="H24">
    <cfRule type="expression" dxfId="321" priority="135" stopIfTrue="1">
      <formula>WEEKDAY($C24)=7</formula>
    </cfRule>
    <cfRule type="expression" dxfId="320" priority="136" stopIfTrue="1">
      <formula>WEEKDAY($C24)=1</formula>
    </cfRule>
  </conditionalFormatting>
  <conditionalFormatting sqref="H24">
    <cfRule type="expression" dxfId="319" priority="133" stopIfTrue="1">
      <formula>WEEKDAY($C24)=7</formula>
    </cfRule>
    <cfRule type="expression" dxfId="318" priority="134" stopIfTrue="1">
      <formula>WEEKDAY($C24)=1</formula>
    </cfRule>
  </conditionalFormatting>
  <conditionalFormatting sqref="H24">
    <cfRule type="expression" dxfId="317" priority="131" stopIfTrue="1">
      <formula>WEEKDAY($C24)=7</formula>
    </cfRule>
    <cfRule type="expression" dxfId="316" priority="132" stopIfTrue="1">
      <formula>WEEKDAY($C24)=1</formula>
    </cfRule>
  </conditionalFormatting>
  <conditionalFormatting sqref="H25">
    <cfRule type="expression" dxfId="315" priority="129" stopIfTrue="1">
      <formula>WEEKDAY($C25)=7</formula>
    </cfRule>
    <cfRule type="expression" dxfId="314" priority="130" stopIfTrue="1">
      <formula>WEEKDAY($C25)=1</formula>
    </cfRule>
  </conditionalFormatting>
  <conditionalFormatting sqref="H25">
    <cfRule type="expression" dxfId="313" priority="127" stopIfTrue="1">
      <formula>WEEKDAY($C25)=7</formula>
    </cfRule>
    <cfRule type="expression" dxfId="312" priority="128" stopIfTrue="1">
      <formula>WEEKDAY($C25)=1</formula>
    </cfRule>
  </conditionalFormatting>
  <conditionalFormatting sqref="H25">
    <cfRule type="expression" dxfId="311" priority="125" stopIfTrue="1">
      <formula>WEEKDAY($C25)=7</formula>
    </cfRule>
    <cfRule type="expression" dxfId="310" priority="126" stopIfTrue="1">
      <formula>WEEKDAY($C25)=1</formula>
    </cfRule>
  </conditionalFormatting>
  <conditionalFormatting sqref="H25">
    <cfRule type="expression" dxfId="309" priority="123" stopIfTrue="1">
      <formula>WEEKDAY($C25)=7</formula>
    </cfRule>
    <cfRule type="expression" dxfId="308" priority="124" stopIfTrue="1">
      <formula>WEEKDAY($C25)=1</formula>
    </cfRule>
  </conditionalFormatting>
  <conditionalFormatting sqref="H25">
    <cfRule type="expression" dxfId="307" priority="121" stopIfTrue="1">
      <formula>WEEKDAY($C25)=7</formula>
    </cfRule>
    <cfRule type="expression" dxfId="306" priority="122" stopIfTrue="1">
      <formula>WEEKDAY($C25)=1</formula>
    </cfRule>
  </conditionalFormatting>
  <conditionalFormatting sqref="H25">
    <cfRule type="expression" dxfId="305" priority="119" stopIfTrue="1">
      <formula>WEEKDAY($C25)=7</formula>
    </cfRule>
    <cfRule type="expression" dxfId="304" priority="120" stopIfTrue="1">
      <formula>WEEKDAY($C25)=1</formula>
    </cfRule>
  </conditionalFormatting>
  <conditionalFormatting sqref="H26">
    <cfRule type="expression" dxfId="303" priority="117" stopIfTrue="1">
      <formula>WEEKDAY($C26)=7</formula>
    </cfRule>
    <cfRule type="expression" dxfId="302" priority="118" stopIfTrue="1">
      <formula>WEEKDAY($C26)=1</formula>
    </cfRule>
  </conditionalFormatting>
  <conditionalFormatting sqref="H26">
    <cfRule type="expression" dxfId="301" priority="115" stopIfTrue="1">
      <formula>WEEKDAY($C26)=7</formula>
    </cfRule>
    <cfRule type="expression" dxfId="300" priority="116" stopIfTrue="1">
      <formula>WEEKDAY($C26)=1</formula>
    </cfRule>
  </conditionalFormatting>
  <conditionalFormatting sqref="H26">
    <cfRule type="expression" dxfId="299" priority="113" stopIfTrue="1">
      <formula>WEEKDAY($C26)=7</formula>
    </cfRule>
    <cfRule type="expression" dxfId="298" priority="114" stopIfTrue="1">
      <formula>WEEKDAY($C26)=1</formula>
    </cfRule>
  </conditionalFormatting>
  <conditionalFormatting sqref="H26">
    <cfRule type="expression" dxfId="297" priority="111" stopIfTrue="1">
      <formula>WEEKDAY($C26)=7</formula>
    </cfRule>
    <cfRule type="expression" dxfId="296" priority="112" stopIfTrue="1">
      <formula>WEEKDAY($C26)=1</formula>
    </cfRule>
  </conditionalFormatting>
  <conditionalFormatting sqref="H26">
    <cfRule type="expression" dxfId="295" priority="109" stopIfTrue="1">
      <formula>WEEKDAY($C26)=7</formula>
    </cfRule>
    <cfRule type="expression" dxfId="294" priority="110" stopIfTrue="1">
      <formula>WEEKDAY($C26)=1</formula>
    </cfRule>
  </conditionalFormatting>
  <conditionalFormatting sqref="H26">
    <cfRule type="expression" dxfId="293" priority="107" stopIfTrue="1">
      <formula>WEEKDAY($C26)=7</formula>
    </cfRule>
    <cfRule type="expression" dxfId="292" priority="108" stopIfTrue="1">
      <formula>WEEKDAY($C26)=1</formula>
    </cfRule>
  </conditionalFormatting>
  <conditionalFormatting sqref="H27">
    <cfRule type="expression" dxfId="291" priority="105" stopIfTrue="1">
      <formula>WEEKDAY($C27)=7</formula>
    </cfRule>
    <cfRule type="expression" dxfId="290" priority="106" stopIfTrue="1">
      <formula>WEEKDAY($C27)=1</formula>
    </cfRule>
  </conditionalFormatting>
  <conditionalFormatting sqref="H27">
    <cfRule type="expression" dxfId="289" priority="103" stopIfTrue="1">
      <formula>WEEKDAY($C27)=7</formula>
    </cfRule>
    <cfRule type="expression" dxfId="288" priority="104" stopIfTrue="1">
      <formula>WEEKDAY($C27)=1</formula>
    </cfRule>
  </conditionalFormatting>
  <conditionalFormatting sqref="H27">
    <cfRule type="expression" dxfId="287" priority="101" stopIfTrue="1">
      <formula>WEEKDAY($C27)=7</formula>
    </cfRule>
    <cfRule type="expression" dxfId="286" priority="102" stopIfTrue="1">
      <formula>WEEKDAY($C27)=1</formula>
    </cfRule>
  </conditionalFormatting>
  <conditionalFormatting sqref="H27">
    <cfRule type="expression" dxfId="285" priority="99" stopIfTrue="1">
      <formula>WEEKDAY($C27)=7</formula>
    </cfRule>
    <cfRule type="expression" dxfId="284" priority="100" stopIfTrue="1">
      <formula>WEEKDAY($C27)=1</formula>
    </cfRule>
  </conditionalFormatting>
  <conditionalFormatting sqref="H27">
    <cfRule type="expression" dxfId="283" priority="97" stopIfTrue="1">
      <formula>WEEKDAY($C27)=7</formula>
    </cfRule>
    <cfRule type="expression" dxfId="282" priority="98" stopIfTrue="1">
      <formula>WEEKDAY($C27)=1</formula>
    </cfRule>
  </conditionalFormatting>
  <conditionalFormatting sqref="H27">
    <cfRule type="expression" dxfId="281" priority="95" stopIfTrue="1">
      <formula>WEEKDAY($C27)=7</formula>
    </cfRule>
    <cfRule type="expression" dxfId="280" priority="96" stopIfTrue="1">
      <formula>WEEKDAY($C27)=1</formula>
    </cfRule>
  </conditionalFormatting>
  <conditionalFormatting sqref="L26">
    <cfRule type="expression" dxfId="279" priority="93" stopIfTrue="1">
      <formula>WEEKDAY($C26)=7</formula>
    </cfRule>
    <cfRule type="expression" dxfId="278" priority="94" stopIfTrue="1">
      <formula>WEEKDAY($C26)=1</formula>
    </cfRule>
  </conditionalFormatting>
  <conditionalFormatting sqref="L25">
    <cfRule type="expression" dxfId="277" priority="91" stopIfTrue="1">
      <formula>WEEKDAY($C25)=7</formula>
    </cfRule>
    <cfRule type="expression" dxfId="276" priority="92" stopIfTrue="1">
      <formula>WEEKDAY($C25)=1</formula>
    </cfRule>
  </conditionalFormatting>
  <conditionalFormatting sqref="L24">
    <cfRule type="expression" dxfId="275" priority="89" stopIfTrue="1">
      <formula>WEEKDAY($C24)=7</formula>
    </cfRule>
    <cfRule type="expression" dxfId="274" priority="90" stopIfTrue="1">
      <formula>WEEKDAY($C24)=1</formula>
    </cfRule>
  </conditionalFormatting>
  <conditionalFormatting sqref="L23">
    <cfRule type="expression" dxfId="273" priority="87" stopIfTrue="1">
      <formula>WEEKDAY($C23)=7</formula>
    </cfRule>
    <cfRule type="expression" dxfId="272" priority="88" stopIfTrue="1">
      <formula>WEEKDAY($C23)=1</formula>
    </cfRule>
  </conditionalFormatting>
  <conditionalFormatting sqref="L18">
    <cfRule type="expression" dxfId="271" priority="85" stopIfTrue="1">
      <formula>WEEKDAY($C18)=7</formula>
    </cfRule>
    <cfRule type="expression" dxfId="270" priority="86" stopIfTrue="1">
      <formula>WEEKDAY($C18)=1</formula>
    </cfRule>
  </conditionalFormatting>
  <conditionalFormatting sqref="L19">
    <cfRule type="expression" dxfId="267" priority="81" stopIfTrue="1">
      <formula>WEEKDAY($C19)=7</formula>
    </cfRule>
    <cfRule type="expression" dxfId="266" priority="82" stopIfTrue="1">
      <formula>WEEKDAY($C19)=1</formula>
    </cfRule>
  </conditionalFormatting>
  <conditionalFormatting sqref="L16">
    <cfRule type="expression" dxfId="265" priority="79" stopIfTrue="1">
      <formula>WEEKDAY($C16)=7</formula>
    </cfRule>
    <cfRule type="expression" dxfId="264" priority="80" stopIfTrue="1">
      <formula>WEEKDAY($C16)=1</formula>
    </cfRule>
  </conditionalFormatting>
  <conditionalFormatting sqref="H30">
    <cfRule type="expression" dxfId="263" priority="77" stopIfTrue="1">
      <formula>WEEKDAY($C30)=7</formula>
    </cfRule>
    <cfRule type="expression" dxfId="262" priority="78" stopIfTrue="1">
      <formula>WEEKDAY($C30)=1</formula>
    </cfRule>
  </conditionalFormatting>
  <conditionalFormatting sqref="H30">
    <cfRule type="expression" dxfId="261" priority="75" stopIfTrue="1">
      <formula>WEEKDAY($C30)=7</formula>
    </cfRule>
    <cfRule type="expression" dxfId="260" priority="76" stopIfTrue="1">
      <formula>WEEKDAY($C30)=1</formula>
    </cfRule>
  </conditionalFormatting>
  <conditionalFormatting sqref="H30">
    <cfRule type="expression" dxfId="259" priority="73" stopIfTrue="1">
      <formula>WEEKDAY($C30)=7</formula>
    </cfRule>
    <cfRule type="expression" dxfId="258" priority="74" stopIfTrue="1">
      <formula>WEEKDAY($C30)=1</formula>
    </cfRule>
  </conditionalFormatting>
  <conditionalFormatting sqref="H30">
    <cfRule type="expression" dxfId="257" priority="71" stopIfTrue="1">
      <formula>WEEKDAY($C30)=7</formula>
    </cfRule>
    <cfRule type="expression" dxfId="256" priority="72" stopIfTrue="1">
      <formula>WEEKDAY($C30)=1</formula>
    </cfRule>
  </conditionalFormatting>
  <conditionalFormatting sqref="H30">
    <cfRule type="expression" dxfId="255" priority="69" stopIfTrue="1">
      <formula>WEEKDAY($C30)=7</formula>
    </cfRule>
    <cfRule type="expression" dxfId="254" priority="70" stopIfTrue="1">
      <formula>WEEKDAY($C30)=1</formula>
    </cfRule>
  </conditionalFormatting>
  <conditionalFormatting sqref="H30">
    <cfRule type="expression" dxfId="253" priority="67" stopIfTrue="1">
      <formula>WEEKDAY($C30)=7</formula>
    </cfRule>
    <cfRule type="expression" dxfId="252" priority="68" stopIfTrue="1">
      <formula>WEEKDAY($C30)=1</formula>
    </cfRule>
  </conditionalFormatting>
  <conditionalFormatting sqref="H31">
    <cfRule type="expression" dxfId="251" priority="65" stopIfTrue="1">
      <formula>WEEKDAY($C31)=7</formula>
    </cfRule>
    <cfRule type="expression" dxfId="250" priority="66" stopIfTrue="1">
      <formula>WEEKDAY($C31)=1</formula>
    </cfRule>
  </conditionalFormatting>
  <conditionalFormatting sqref="H31">
    <cfRule type="expression" dxfId="249" priority="63" stopIfTrue="1">
      <formula>WEEKDAY($C31)=7</formula>
    </cfRule>
    <cfRule type="expression" dxfId="248" priority="64" stopIfTrue="1">
      <formula>WEEKDAY($C31)=1</formula>
    </cfRule>
  </conditionalFormatting>
  <conditionalFormatting sqref="H31">
    <cfRule type="expression" dxfId="247" priority="61" stopIfTrue="1">
      <formula>WEEKDAY($C31)=7</formula>
    </cfRule>
    <cfRule type="expression" dxfId="246" priority="62" stopIfTrue="1">
      <formula>WEEKDAY($C31)=1</formula>
    </cfRule>
  </conditionalFormatting>
  <conditionalFormatting sqref="H31">
    <cfRule type="expression" dxfId="245" priority="59" stopIfTrue="1">
      <formula>WEEKDAY($C31)=7</formula>
    </cfRule>
    <cfRule type="expression" dxfId="244" priority="60" stopIfTrue="1">
      <formula>WEEKDAY($C31)=1</formula>
    </cfRule>
  </conditionalFormatting>
  <conditionalFormatting sqref="H31">
    <cfRule type="expression" dxfId="243" priority="57" stopIfTrue="1">
      <formula>WEEKDAY($C31)=7</formula>
    </cfRule>
    <cfRule type="expression" dxfId="242" priority="58" stopIfTrue="1">
      <formula>WEEKDAY($C31)=1</formula>
    </cfRule>
  </conditionalFormatting>
  <conditionalFormatting sqref="H31">
    <cfRule type="expression" dxfId="241" priority="55" stopIfTrue="1">
      <formula>WEEKDAY($C31)=7</formula>
    </cfRule>
    <cfRule type="expression" dxfId="240" priority="56" stopIfTrue="1">
      <formula>WEEKDAY($C31)=1</formula>
    </cfRule>
  </conditionalFormatting>
  <conditionalFormatting sqref="H32">
    <cfRule type="expression" dxfId="239" priority="53" stopIfTrue="1">
      <formula>WEEKDAY($C32)=7</formula>
    </cfRule>
    <cfRule type="expression" dxfId="238" priority="54" stopIfTrue="1">
      <formula>WEEKDAY($C32)=1</formula>
    </cfRule>
  </conditionalFormatting>
  <conditionalFormatting sqref="H32">
    <cfRule type="expression" dxfId="237" priority="51" stopIfTrue="1">
      <formula>WEEKDAY($C32)=7</formula>
    </cfRule>
    <cfRule type="expression" dxfId="236" priority="52" stopIfTrue="1">
      <formula>WEEKDAY($C32)=1</formula>
    </cfRule>
  </conditionalFormatting>
  <conditionalFormatting sqref="H32">
    <cfRule type="expression" dxfId="235" priority="49" stopIfTrue="1">
      <formula>WEEKDAY($C32)=7</formula>
    </cfRule>
    <cfRule type="expression" dxfId="234" priority="50" stopIfTrue="1">
      <formula>WEEKDAY($C32)=1</formula>
    </cfRule>
  </conditionalFormatting>
  <conditionalFormatting sqref="H32">
    <cfRule type="expression" dxfId="233" priority="47" stopIfTrue="1">
      <formula>WEEKDAY($C32)=7</formula>
    </cfRule>
    <cfRule type="expression" dxfId="232" priority="48" stopIfTrue="1">
      <formula>WEEKDAY($C32)=1</formula>
    </cfRule>
  </conditionalFormatting>
  <conditionalFormatting sqref="H32">
    <cfRule type="expression" dxfId="231" priority="45" stopIfTrue="1">
      <formula>WEEKDAY($C32)=7</formula>
    </cfRule>
    <cfRule type="expression" dxfId="230" priority="46" stopIfTrue="1">
      <formula>WEEKDAY($C32)=1</formula>
    </cfRule>
  </conditionalFormatting>
  <conditionalFormatting sqref="H32">
    <cfRule type="expression" dxfId="229" priority="43" stopIfTrue="1">
      <formula>WEEKDAY($C32)=7</formula>
    </cfRule>
    <cfRule type="expression" dxfId="228" priority="44" stopIfTrue="1">
      <formula>WEEKDAY($C32)=1</formula>
    </cfRule>
  </conditionalFormatting>
  <conditionalFormatting sqref="L30">
    <cfRule type="expression" dxfId="227" priority="41" stopIfTrue="1">
      <formula>WEEKDAY($C30)=7</formula>
    </cfRule>
    <cfRule type="expression" dxfId="226" priority="42" stopIfTrue="1">
      <formula>WEEKDAY($C30)=1</formula>
    </cfRule>
  </conditionalFormatting>
  <conditionalFormatting sqref="L31">
    <cfRule type="expression" dxfId="225" priority="39" stopIfTrue="1">
      <formula>WEEKDAY($C31)=7</formula>
    </cfRule>
    <cfRule type="expression" dxfId="224" priority="40" stopIfTrue="1">
      <formula>WEEKDAY($C31)=1</formula>
    </cfRule>
  </conditionalFormatting>
  <conditionalFormatting sqref="L34">
    <cfRule type="expression" dxfId="223" priority="37" stopIfTrue="1">
      <formula>WEEKDAY($C34)=7</formula>
    </cfRule>
    <cfRule type="expression" dxfId="222" priority="38" stopIfTrue="1">
      <formula>WEEKDAY($C34)=1</formula>
    </cfRule>
  </conditionalFormatting>
  <conditionalFormatting sqref="H37">
    <cfRule type="expression" dxfId="221" priority="35" stopIfTrue="1">
      <formula>WEEKDAY($C37)=7</formula>
    </cfRule>
    <cfRule type="expression" dxfId="220" priority="36" stopIfTrue="1">
      <formula>WEEKDAY($C37)=1</formula>
    </cfRule>
  </conditionalFormatting>
  <conditionalFormatting sqref="H37">
    <cfRule type="expression" dxfId="219" priority="33" stopIfTrue="1">
      <formula>WEEKDAY($C37)=7</formula>
    </cfRule>
    <cfRule type="expression" dxfId="218" priority="34" stopIfTrue="1">
      <formula>WEEKDAY($C37)=1</formula>
    </cfRule>
  </conditionalFormatting>
  <conditionalFormatting sqref="H37">
    <cfRule type="expression" dxfId="217" priority="31" stopIfTrue="1">
      <formula>WEEKDAY($C37)=7</formula>
    </cfRule>
    <cfRule type="expression" dxfId="216" priority="32" stopIfTrue="1">
      <formula>WEEKDAY($C37)=1</formula>
    </cfRule>
  </conditionalFormatting>
  <conditionalFormatting sqref="H37">
    <cfRule type="expression" dxfId="215" priority="29" stopIfTrue="1">
      <formula>WEEKDAY($C37)=7</formula>
    </cfRule>
    <cfRule type="expression" dxfId="214" priority="30" stopIfTrue="1">
      <formula>WEEKDAY($C37)=1</formula>
    </cfRule>
  </conditionalFormatting>
  <conditionalFormatting sqref="H37">
    <cfRule type="expression" dxfId="213" priority="27" stopIfTrue="1">
      <formula>WEEKDAY($C37)=7</formula>
    </cfRule>
    <cfRule type="expression" dxfId="212" priority="28" stopIfTrue="1">
      <formula>WEEKDAY($C37)=1</formula>
    </cfRule>
  </conditionalFormatting>
  <conditionalFormatting sqref="H37">
    <cfRule type="expression" dxfId="211" priority="25" stopIfTrue="1">
      <formula>WEEKDAY($C37)=7</formula>
    </cfRule>
    <cfRule type="expression" dxfId="210" priority="26" stopIfTrue="1">
      <formula>WEEKDAY($C37)=1</formula>
    </cfRule>
  </conditionalFormatting>
  <conditionalFormatting sqref="L37">
    <cfRule type="expression" dxfId="209" priority="23" stopIfTrue="1">
      <formula>WEEKDAY($C37)=7</formula>
    </cfRule>
    <cfRule type="expression" dxfId="208" priority="24" stopIfTrue="1">
      <formula>WEEKDAY($C37)=1</formula>
    </cfRule>
  </conditionalFormatting>
  <conditionalFormatting sqref="M37">
    <cfRule type="expression" dxfId="207" priority="21" stopIfTrue="1">
      <formula>WEEKDAY($C37)=7</formula>
    </cfRule>
    <cfRule type="expression" dxfId="206" priority="22" stopIfTrue="1">
      <formula>WEEKDAY($C37)=1</formula>
    </cfRule>
  </conditionalFormatting>
  <conditionalFormatting sqref="N37">
    <cfRule type="expression" dxfId="205" priority="19" stopIfTrue="1">
      <formula>WEEKDAY($C37)=7</formula>
    </cfRule>
    <cfRule type="expression" dxfId="204" priority="20" stopIfTrue="1">
      <formula>WEEKDAY($C37)=1</formula>
    </cfRule>
  </conditionalFormatting>
  <conditionalFormatting sqref="H38">
    <cfRule type="expression" dxfId="203" priority="17" stopIfTrue="1">
      <formula>WEEKDAY($C38)=7</formula>
    </cfRule>
    <cfRule type="expression" dxfId="202" priority="18" stopIfTrue="1">
      <formula>WEEKDAY($C38)=1</formula>
    </cfRule>
  </conditionalFormatting>
  <conditionalFormatting sqref="H38">
    <cfRule type="expression" dxfId="201" priority="15" stopIfTrue="1">
      <formula>WEEKDAY($C38)=7</formula>
    </cfRule>
    <cfRule type="expression" dxfId="200" priority="16" stopIfTrue="1">
      <formula>WEEKDAY($C38)=1</formula>
    </cfRule>
  </conditionalFormatting>
  <conditionalFormatting sqref="H38">
    <cfRule type="expression" dxfId="199" priority="13" stopIfTrue="1">
      <formula>WEEKDAY($C38)=7</formula>
    </cfRule>
    <cfRule type="expression" dxfId="198" priority="14" stopIfTrue="1">
      <formula>WEEKDAY($C38)=1</formula>
    </cfRule>
  </conditionalFormatting>
  <conditionalFormatting sqref="H38">
    <cfRule type="expression" dxfId="197" priority="11" stopIfTrue="1">
      <formula>WEEKDAY($C38)=7</formula>
    </cfRule>
    <cfRule type="expression" dxfId="196" priority="12" stopIfTrue="1">
      <formula>WEEKDAY($C38)=1</formula>
    </cfRule>
  </conditionalFormatting>
  <conditionalFormatting sqref="H38">
    <cfRule type="expression" dxfId="195" priority="9" stopIfTrue="1">
      <formula>WEEKDAY($C38)=7</formula>
    </cfRule>
    <cfRule type="expression" dxfId="194" priority="10" stopIfTrue="1">
      <formula>WEEKDAY($C38)=1</formula>
    </cfRule>
  </conditionalFormatting>
  <conditionalFormatting sqref="H38">
    <cfRule type="expression" dxfId="193" priority="7" stopIfTrue="1">
      <formula>WEEKDAY($C38)=7</formula>
    </cfRule>
    <cfRule type="expression" dxfId="192" priority="8" stopIfTrue="1">
      <formula>WEEKDAY($C38)=1</formula>
    </cfRule>
  </conditionalFormatting>
  <conditionalFormatting sqref="L38">
    <cfRule type="expression" dxfId="191" priority="5" stopIfTrue="1">
      <formula>WEEKDAY($C38)=7</formula>
    </cfRule>
    <cfRule type="expression" dxfId="190" priority="6" stopIfTrue="1">
      <formula>WEEKDAY($C38)=1</formula>
    </cfRule>
  </conditionalFormatting>
  <conditionalFormatting sqref="N38">
    <cfRule type="expression" dxfId="189" priority="3" stopIfTrue="1">
      <formula>WEEKDAY($C38)=7</formula>
    </cfRule>
    <cfRule type="expression" dxfId="188" priority="4" stopIfTrue="1">
      <formula>WEEKDAY($C38)=1</formula>
    </cfRule>
  </conditionalFormatting>
  <conditionalFormatting sqref="L17">
    <cfRule type="expression" dxfId="1" priority="1" stopIfTrue="1">
      <formula>WEEKDAY($C17)=7</formula>
    </cfRule>
    <cfRule type="expression" dxfId="0" priority="2" stopIfTrue="1">
      <formula>WEEKDAY($C17)=1</formula>
    </cfRule>
  </conditionalFormatting>
  <dataValidations count="2">
    <dataValidation type="list" allowBlank="1" showInputMessage="1" showErrorMessage="1" sqref="E8:E38" xr:uid="{00000000-0002-0000-0000-000000000000}">
      <formula1>$T$2:$V$2</formula1>
    </dataValidation>
    <dataValidation type="list" showInputMessage="1" showErrorMessage="1" sqref="D8:D38" xr:uid="{00000000-0002-0000-0000-000001000000}">
      <formula1>$AC$8:$AC$27</formula1>
    </dataValidation>
  </dataValidations>
  <pageMargins left="0.6692913385826772" right="0.39370078740157483" top="0.86614173228346458" bottom="0.39370078740157483" header="0.55118110236220474" footer="0"/>
  <pageSetup paperSize="9" orientation="portrait" verticalDpi="300" r:id="rId1"/>
  <headerFooter alignWithMargins="0">
    <oddHeader>&amp;C&amp;"ＭＳ Ｐ明朝,太字"&amp;16&amp;E個人別勤務報告書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04" r:id="rId4" name="Button 36">
              <controlPr defaultSize="0" print="0" autoFill="0" autoPict="0" macro="[0]!actCopy">
                <anchor moveWithCells="1" sizeWithCells="1">
                  <from>
                    <xdr:col>23</xdr:col>
                    <xdr:colOff>180975</xdr:colOff>
                    <xdr:row>2</xdr:row>
                    <xdr:rowOff>19050</xdr:rowOff>
                  </from>
                  <to>
                    <xdr:col>23</xdr:col>
                    <xdr:colOff>1143000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49"/>
  <sheetViews>
    <sheetView showGridLines="0" zoomScaleNormal="100" workbookViewId="0">
      <pane xSplit="12" ySplit="7" topLeftCell="M29" activePane="bottomRight" state="frozenSplit"/>
      <selection pane="topRight" activeCell="L1" sqref="L1"/>
      <selection pane="bottomLeft" activeCell="A7" sqref="A7"/>
      <selection pane="bottomRight" activeCell="M37" sqref="M37"/>
    </sheetView>
  </sheetViews>
  <sheetFormatPr defaultColWidth="9" defaultRowHeight="13.5"/>
  <cols>
    <col min="1" max="1" width="0.5" style="5" customWidth="1"/>
    <col min="2" max="3" width="3.625" style="5" customWidth="1"/>
    <col min="4" max="4" width="5" style="5" customWidth="1"/>
    <col min="5" max="5" width="3.625" style="5" customWidth="1"/>
    <col min="6" max="7" width="5" style="5" customWidth="1"/>
    <col min="8" max="8" width="3.125" style="49" customWidth="1"/>
    <col min="9" max="9" width="4.125" style="49" customWidth="1"/>
    <col min="10" max="11" width="1.625" style="49" customWidth="1"/>
    <col min="12" max="12" width="7.25" style="49" customWidth="1"/>
    <col min="13" max="14" width="5.625" style="5" customWidth="1"/>
    <col min="15" max="15" width="2.5" style="5" customWidth="1"/>
    <col min="16" max="16" width="3.125" style="5" customWidth="1"/>
    <col min="17" max="18" width="5.625" style="5" customWidth="1"/>
    <col min="19" max="19" width="1.75" style="5" customWidth="1"/>
    <col min="20" max="21" width="6.625" style="5" customWidth="1"/>
    <col min="22" max="22" width="2.5" style="5" customWidth="1"/>
    <col min="23" max="23" width="4.25" style="5" customWidth="1"/>
    <col min="24" max="24" width="16.875" style="3" customWidth="1"/>
    <col min="25" max="25" width="5.75" style="3" customWidth="1"/>
    <col min="26" max="26" width="8.625" style="3" bestFit="1" customWidth="1"/>
    <col min="27" max="27" width="8.625" style="3" customWidth="1"/>
    <col min="28" max="28" width="2.75" style="3" customWidth="1"/>
    <col min="29" max="29" width="11.375" style="5" customWidth="1"/>
    <col min="30" max="30" width="2.875" style="5" customWidth="1"/>
    <col min="31" max="16384" width="9" style="5"/>
  </cols>
  <sheetData>
    <row r="1" spans="1:31" ht="4.5" customHeight="1" thickBot="1">
      <c r="B1" s="2"/>
      <c r="C1" s="2"/>
      <c r="D1" s="2"/>
      <c r="E1" s="2"/>
      <c r="F1" s="2"/>
      <c r="G1" s="2"/>
      <c r="H1" s="47"/>
      <c r="I1" s="47"/>
      <c r="J1" s="47"/>
      <c r="K1" s="47"/>
      <c r="L1" s="47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1" ht="17.100000000000001" customHeight="1">
      <c r="B2" s="245" t="s">
        <v>0</v>
      </c>
      <c r="C2" s="144"/>
      <c r="D2" s="144"/>
      <c r="E2" s="267" t="s">
        <v>7</v>
      </c>
      <c r="F2" s="272"/>
      <c r="G2" s="247" t="s">
        <v>8</v>
      </c>
      <c r="H2" s="248"/>
      <c r="I2" s="294"/>
      <c r="J2" s="250"/>
      <c r="K2" s="250"/>
      <c r="L2" s="251"/>
      <c r="M2" s="295" t="s">
        <v>82</v>
      </c>
      <c r="N2" s="268"/>
      <c r="O2" s="267" t="s">
        <v>10</v>
      </c>
      <c r="P2" s="269"/>
      <c r="Q2" s="268"/>
      <c r="R2" s="243" t="s">
        <v>11</v>
      </c>
      <c r="S2" s="244"/>
      <c r="T2" s="6">
        <v>1</v>
      </c>
      <c r="U2" s="7">
        <v>2</v>
      </c>
      <c r="V2" s="255">
        <v>3</v>
      </c>
      <c r="W2" s="256"/>
      <c r="X2" s="8"/>
      <c r="Y2" s="8"/>
      <c r="AA2" s="8"/>
      <c r="AB2" s="4"/>
    </row>
    <row r="3" spans="1:31" ht="17.100000000000001" customHeight="1">
      <c r="B3" s="246"/>
      <c r="C3" s="139"/>
      <c r="D3" s="139"/>
      <c r="E3" s="232" t="s">
        <v>114</v>
      </c>
      <c r="F3" s="233"/>
      <c r="G3" s="9" t="s">
        <v>49</v>
      </c>
      <c r="H3" s="257" t="s">
        <v>117</v>
      </c>
      <c r="I3" s="258"/>
      <c r="J3" s="258"/>
      <c r="K3" s="258"/>
      <c r="L3" s="261" t="s">
        <v>69</v>
      </c>
      <c r="M3" s="236" t="s">
        <v>119</v>
      </c>
      <c r="N3" s="237"/>
      <c r="O3" s="252" t="s">
        <v>115</v>
      </c>
      <c r="P3" s="253"/>
      <c r="Q3" s="254"/>
      <c r="R3" s="289">
        <v>0.41666666666666669</v>
      </c>
      <c r="S3" s="264"/>
      <c r="T3" s="54"/>
      <c r="U3" s="55"/>
      <c r="V3" s="265"/>
      <c r="W3" s="266"/>
      <c r="X3" s="8"/>
      <c r="Y3" s="8"/>
      <c r="Z3" s="8"/>
      <c r="AA3" s="8"/>
      <c r="AB3" s="8"/>
    </row>
    <row r="4" spans="1:31" s="11" customFormat="1" ht="17.100000000000001" customHeight="1">
      <c r="B4" s="228">
        <v>43862</v>
      </c>
      <c r="C4" s="229"/>
      <c r="D4" s="229"/>
      <c r="E4" s="234"/>
      <c r="F4" s="235"/>
      <c r="G4" s="10" t="s">
        <v>50</v>
      </c>
      <c r="H4" s="259"/>
      <c r="I4" s="260"/>
      <c r="J4" s="260"/>
      <c r="K4" s="260"/>
      <c r="L4" s="262"/>
      <c r="M4" s="238"/>
      <c r="N4" s="239"/>
      <c r="O4" s="240" t="s">
        <v>116</v>
      </c>
      <c r="P4" s="241"/>
      <c r="Q4" s="242"/>
      <c r="R4" s="270">
        <v>0.75</v>
      </c>
      <c r="S4" s="271"/>
      <c r="T4" s="56"/>
      <c r="U4" s="57"/>
      <c r="V4" s="221"/>
      <c r="W4" s="222"/>
      <c r="X4" s="8"/>
      <c r="Y4" s="8"/>
      <c r="Z4" s="8"/>
      <c r="AA4" s="8"/>
      <c r="AB4" s="8"/>
    </row>
    <row r="5" spans="1:31" ht="17.100000000000001" customHeight="1" thickBot="1">
      <c r="A5" s="43"/>
      <c r="B5" s="223" t="s">
        <v>1</v>
      </c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  <c r="R5" s="225"/>
      <c r="S5" s="226" t="s">
        <v>2</v>
      </c>
      <c r="T5" s="224"/>
      <c r="U5" s="224"/>
      <c r="V5" s="224"/>
      <c r="W5" s="227"/>
    </row>
    <row r="6" spans="1:31" s="14" customFormat="1" ht="17.100000000000001" customHeight="1">
      <c r="B6" s="230" t="s">
        <v>12</v>
      </c>
      <c r="C6" s="194" t="s">
        <v>13</v>
      </c>
      <c r="D6" s="194" t="s">
        <v>14</v>
      </c>
      <c r="E6" s="194" t="s">
        <v>28</v>
      </c>
      <c r="F6" s="194" t="s">
        <v>60</v>
      </c>
      <c r="G6" s="194" t="s">
        <v>61</v>
      </c>
      <c r="H6" s="213" t="s">
        <v>19</v>
      </c>
      <c r="I6" s="214"/>
      <c r="J6" s="214"/>
      <c r="K6" s="214"/>
      <c r="L6" s="215"/>
      <c r="M6" s="12" t="s">
        <v>15</v>
      </c>
      <c r="N6" s="291" t="s">
        <v>16</v>
      </c>
      <c r="O6" s="293" t="s">
        <v>17</v>
      </c>
      <c r="P6" s="291"/>
      <c r="Q6" s="291" t="s">
        <v>18</v>
      </c>
      <c r="R6" s="291" t="s">
        <v>41</v>
      </c>
      <c r="S6" s="275" t="s">
        <v>65</v>
      </c>
      <c r="T6" s="276"/>
      <c r="U6" s="276"/>
      <c r="V6" s="276"/>
      <c r="W6" s="277"/>
      <c r="X6" s="13"/>
      <c r="Y6" s="196" t="s">
        <v>56</v>
      </c>
      <c r="Z6" s="207" t="s">
        <v>62</v>
      </c>
      <c r="AA6" s="208"/>
      <c r="AB6" s="3"/>
      <c r="AC6" s="97" t="s">
        <v>73</v>
      </c>
      <c r="AE6" s="300" t="s">
        <v>77</v>
      </c>
    </row>
    <row r="7" spans="1:31" s="16" customFormat="1" ht="16.5" customHeight="1" thickBot="1">
      <c r="B7" s="231"/>
      <c r="C7" s="195"/>
      <c r="D7" s="195"/>
      <c r="E7" s="195"/>
      <c r="F7" s="195"/>
      <c r="G7" s="195"/>
      <c r="H7" s="216"/>
      <c r="I7" s="217"/>
      <c r="J7" s="217"/>
      <c r="K7" s="217"/>
      <c r="L7" s="218"/>
      <c r="M7" s="15" t="s">
        <v>20</v>
      </c>
      <c r="N7" s="292"/>
      <c r="O7" s="292"/>
      <c r="P7" s="292"/>
      <c r="Q7" s="292"/>
      <c r="R7" s="296"/>
      <c r="S7" s="278"/>
      <c r="T7" s="279"/>
      <c r="U7" s="279"/>
      <c r="V7" s="279"/>
      <c r="W7" s="280"/>
      <c r="Y7" s="197"/>
      <c r="Z7" s="17" t="s">
        <v>54</v>
      </c>
      <c r="AA7" s="18" t="s">
        <v>55</v>
      </c>
      <c r="AC7" s="98"/>
      <c r="AE7" s="301"/>
    </row>
    <row r="8" spans="1:31" ht="17.100000000000001" customHeight="1">
      <c r="B8" s="24">
        <f>B4</f>
        <v>43862</v>
      </c>
      <c r="C8" s="25">
        <f t="shared" ref="C8:C38" si="0">B8</f>
        <v>43862</v>
      </c>
      <c r="D8" s="19"/>
      <c r="E8" s="58"/>
      <c r="F8" s="29"/>
      <c r="G8" s="20"/>
      <c r="H8" s="209"/>
      <c r="I8" s="210"/>
      <c r="J8" s="290" t="s">
        <v>3</v>
      </c>
      <c r="K8" s="290"/>
      <c r="L8" s="75"/>
      <c r="M8" s="21"/>
      <c r="N8" s="21"/>
      <c r="O8" s="273"/>
      <c r="P8" s="274"/>
      <c r="Q8" s="22"/>
      <c r="R8" s="42"/>
      <c r="S8" s="284"/>
      <c r="T8" s="285"/>
      <c r="U8" s="285"/>
      <c r="V8" s="285"/>
      <c r="W8" s="286"/>
      <c r="X8" s="23"/>
      <c r="Y8" s="44"/>
      <c r="Z8" s="45"/>
      <c r="AA8" s="46"/>
      <c r="AB8" s="23"/>
      <c r="AC8" s="63" t="s">
        <v>43</v>
      </c>
      <c r="AE8" s="66" t="s">
        <v>78</v>
      </c>
    </row>
    <row r="9" spans="1:31" ht="17.100000000000001" customHeight="1">
      <c r="B9" s="24">
        <f t="shared" ref="B9:B35" si="1">B8+1</f>
        <v>43863</v>
      </c>
      <c r="C9" s="25">
        <f t="shared" si="0"/>
        <v>43863</v>
      </c>
      <c r="D9" s="19"/>
      <c r="E9" s="58"/>
      <c r="F9" s="29"/>
      <c r="G9" s="20"/>
      <c r="H9" s="209"/>
      <c r="I9" s="210"/>
      <c r="J9" s="287" t="s">
        <v>3</v>
      </c>
      <c r="K9" s="287"/>
      <c r="L9" s="75"/>
      <c r="M9" s="21"/>
      <c r="N9" s="21"/>
      <c r="O9" s="273"/>
      <c r="P9" s="274"/>
      <c r="Q9" s="22"/>
      <c r="R9" s="42"/>
      <c r="S9" s="281"/>
      <c r="T9" s="282"/>
      <c r="U9" s="282"/>
      <c r="V9" s="282"/>
      <c r="W9" s="283"/>
      <c r="X9" s="23"/>
      <c r="Y9" s="26"/>
      <c r="Z9" s="27"/>
      <c r="AA9" s="28"/>
      <c r="AB9" s="23"/>
      <c r="AC9" s="63" t="s">
        <v>44</v>
      </c>
      <c r="AE9" s="66" t="s">
        <v>79</v>
      </c>
    </row>
    <row r="10" spans="1:31" ht="17.100000000000001" customHeight="1">
      <c r="B10" s="24">
        <f t="shared" si="1"/>
        <v>43864</v>
      </c>
      <c r="C10" s="25">
        <f t="shared" si="0"/>
        <v>43864</v>
      </c>
      <c r="D10" s="19"/>
      <c r="E10" s="58"/>
      <c r="F10" s="29"/>
      <c r="G10" s="20"/>
      <c r="H10" s="209">
        <v>0.41666666666666669</v>
      </c>
      <c r="I10" s="210"/>
      <c r="J10" s="287" t="s">
        <v>3</v>
      </c>
      <c r="K10" s="287"/>
      <c r="L10" s="75">
        <v>0.79166666666666663</v>
      </c>
      <c r="M10" s="21">
        <v>8</v>
      </c>
      <c r="N10" s="21"/>
      <c r="O10" s="273"/>
      <c r="P10" s="274"/>
      <c r="Q10" s="22"/>
      <c r="R10" s="42"/>
      <c r="S10" s="281"/>
      <c r="T10" s="282"/>
      <c r="U10" s="282"/>
      <c r="V10" s="282"/>
      <c r="W10" s="283"/>
      <c r="X10" s="23"/>
      <c r="Y10" s="26"/>
      <c r="Z10" s="27"/>
      <c r="AA10" s="28"/>
      <c r="AB10" s="23"/>
      <c r="AC10" s="63" t="s">
        <v>74</v>
      </c>
      <c r="AE10" s="66" t="s">
        <v>80</v>
      </c>
    </row>
    <row r="11" spans="1:31" ht="17.100000000000001" customHeight="1" thickBot="1">
      <c r="B11" s="24">
        <f t="shared" si="1"/>
        <v>43865</v>
      </c>
      <c r="C11" s="25">
        <f t="shared" si="0"/>
        <v>43865</v>
      </c>
      <c r="D11" s="19"/>
      <c r="E11" s="58"/>
      <c r="F11" s="29"/>
      <c r="G11" s="20"/>
      <c r="H11" s="209">
        <v>0.41666666666666669</v>
      </c>
      <c r="I11" s="210"/>
      <c r="J11" s="287" t="s">
        <v>3</v>
      </c>
      <c r="K11" s="287"/>
      <c r="L11" s="75">
        <v>0.77083333333333337</v>
      </c>
      <c r="M11" s="21">
        <v>7.5</v>
      </c>
      <c r="N11" s="21"/>
      <c r="O11" s="273"/>
      <c r="P11" s="274"/>
      <c r="Q11" s="22"/>
      <c r="R11" s="42"/>
      <c r="S11" s="281"/>
      <c r="T11" s="282"/>
      <c r="U11" s="282"/>
      <c r="V11" s="282"/>
      <c r="W11" s="283"/>
      <c r="X11" s="23"/>
      <c r="Y11" s="26"/>
      <c r="Z11" s="27"/>
      <c r="AA11" s="28"/>
      <c r="AB11" s="23"/>
      <c r="AC11" s="63" t="s">
        <v>35</v>
      </c>
      <c r="AE11" s="67" t="s">
        <v>81</v>
      </c>
    </row>
    <row r="12" spans="1:31" ht="17.100000000000001" customHeight="1">
      <c r="B12" s="24">
        <f t="shared" si="1"/>
        <v>43866</v>
      </c>
      <c r="C12" s="25">
        <f t="shared" si="0"/>
        <v>43866</v>
      </c>
      <c r="D12" s="19"/>
      <c r="E12" s="58"/>
      <c r="F12" s="29"/>
      <c r="G12" s="20"/>
      <c r="H12" s="209">
        <v>0.41666666666666669</v>
      </c>
      <c r="I12" s="210"/>
      <c r="J12" s="287" t="s">
        <v>3</v>
      </c>
      <c r="K12" s="287"/>
      <c r="L12" s="75">
        <v>0.77083333333333337</v>
      </c>
      <c r="M12" s="21">
        <v>7.5</v>
      </c>
      <c r="N12" s="21"/>
      <c r="O12" s="273"/>
      <c r="P12" s="274"/>
      <c r="Q12" s="22"/>
      <c r="R12" s="42"/>
      <c r="S12" s="281"/>
      <c r="T12" s="282"/>
      <c r="U12" s="282"/>
      <c r="V12" s="282"/>
      <c r="W12" s="283"/>
      <c r="X12" s="23"/>
      <c r="Y12" s="26"/>
      <c r="Z12" s="27"/>
      <c r="AA12" s="28"/>
      <c r="AB12" s="23"/>
      <c r="AC12" s="63" t="s">
        <v>36</v>
      </c>
    </row>
    <row r="13" spans="1:31" ht="17.100000000000001" customHeight="1">
      <c r="B13" s="24">
        <f t="shared" si="1"/>
        <v>43867</v>
      </c>
      <c r="C13" s="25">
        <f t="shared" si="0"/>
        <v>43867</v>
      </c>
      <c r="D13" s="19"/>
      <c r="E13" s="58"/>
      <c r="F13" s="29"/>
      <c r="G13" s="20"/>
      <c r="H13" s="186">
        <v>0.41666666666666669</v>
      </c>
      <c r="I13" s="187"/>
      <c r="J13" s="287" t="s">
        <v>3</v>
      </c>
      <c r="K13" s="287"/>
      <c r="L13" s="79">
        <v>0.79166666666666663</v>
      </c>
      <c r="M13" s="53">
        <v>8</v>
      </c>
      <c r="N13" s="21"/>
      <c r="O13" s="273"/>
      <c r="P13" s="274"/>
      <c r="Q13" s="22"/>
      <c r="R13" s="42"/>
      <c r="S13" s="281"/>
      <c r="T13" s="282"/>
      <c r="U13" s="282"/>
      <c r="V13" s="282"/>
      <c r="W13" s="283"/>
      <c r="X13" s="23"/>
      <c r="Y13" s="26"/>
      <c r="Z13" s="27"/>
      <c r="AA13" s="28"/>
      <c r="AB13" s="23"/>
      <c r="AC13" s="63" t="s">
        <v>39</v>
      </c>
    </row>
    <row r="14" spans="1:31" ht="17.100000000000001" customHeight="1">
      <c r="B14" s="24">
        <f t="shared" si="1"/>
        <v>43868</v>
      </c>
      <c r="C14" s="25">
        <f t="shared" si="0"/>
        <v>43868</v>
      </c>
      <c r="D14" s="19"/>
      <c r="E14" s="58"/>
      <c r="F14" s="29"/>
      <c r="G14" s="20"/>
      <c r="H14" s="209">
        <v>0.41666666666666669</v>
      </c>
      <c r="I14" s="210"/>
      <c r="J14" s="287" t="s">
        <v>3</v>
      </c>
      <c r="K14" s="287"/>
      <c r="L14" s="75">
        <v>0.79166666666666663</v>
      </c>
      <c r="M14" s="21">
        <v>8</v>
      </c>
      <c r="N14" s="21"/>
      <c r="O14" s="273"/>
      <c r="P14" s="274"/>
      <c r="Q14" s="22"/>
      <c r="R14" s="42"/>
      <c r="S14" s="281"/>
      <c r="T14" s="282"/>
      <c r="U14" s="282"/>
      <c r="V14" s="282"/>
      <c r="W14" s="283"/>
      <c r="X14" s="23"/>
      <c r="Y14" s="26"/>
      <c r="Z14" s="27"/>
      <c r="AA14" s="28"/>
      <c r="AB14" s="23"/>
      <c r="AC14" s="64" t="s">
        <v>40</v>
      </c>
    </row>
    <row r="15" spans="1:31" ht="17.100000000000001" customHeight="1">
      <c r="B15" s="24">
        <f t="shared" si="1"/>
        <v>43869</v>
      </c>
      <c r="C15" s="25">
        <f t="shared" si="0"/>
        <v>43869</v>
      </c>
      <c r="D15" s="19"/>
      <c r="E15" s="58"/>
      <c r="F15" s="29"/>
      <c r="G15" s="20"/>
      <c r="H15" s="209"/>
      <c r="I15" s="210"/>
      <c r="J15" s="287" t="s">
        <v>3</v>
      </c>
      <c r="K15" s="287"/>
      <c r="L15" s="75"/>
      <c r="M15" s="21"/>
      <c r="N15" s="21"/>
      <c r="O15" s="273"/>
      <c r="P15" s="274"/>
      <c r="Q15" s="22"/>
      <c r="R15" s="42"/>
      <c r="S15" s="281"/>
      <c r="T15" s="282"/>
      <c r="U15" s="282"/>
      <c r="V15" s="282"/>
      <c r="W15" s="283"/>
      <c r="X15" s="23"/>
      <c r="Y15" s="26"/>
      <c r="Z15" s="27"/>
      <c r="AA15" s="28"/>
      <c r="AB15" s="23"/>
      <c r="AC15" s="64" t="s">
        <v>30</v>
      </c>
    </row>
    <row r="16" spans="1:31" ht="17.100000000000001" customHeight="1">
      <c r="B16" s="24">
        <f t="shared" si="1"/>
        <v>43870</v>
      </c>
      <c r="C16" s="25">
        <f t="shared" si="0"/>
        <v>43870</v>
      </c>
      <c r="D16" s="19"/>
      <c r="E16" s="58"/>
      <c r="F16" s="29"/>
      <c r="G16" s="20"/>
      <c r="H16" s="209"/>
      <c r="I16" s="210"/>
      <c r="J16" s="287" t="s">
        <v>3</v>
      </c>
      <c r="K16" s="287"/>
      <c r="L16" s="75"/>
      <c r="M16" s="21"/>
      <c r="N16" s="21"/>
      <c r="O16" s="273"/>
      <c r="P16" s="274"/>
      <c r="Q16" s="22"/>
      <c r="R16" s="42"/>
      <c r="S16" s="281"/>
      <c r="T16" s="282"/>
      <c r="U16" s="282"/>
      <c r="V16" s="282"/>
      <c r="W16" s="283"/>
      <c r="X16" s="23"/>
      <c r="Y16" s="26"/>
      <c r="Z16" s="27"/>
      <c r="AA16" s="28"/>
      <c r="AB16" s="23"/>
      <c r="AC16" s="64" t="s">
        <v>33</v>
      </c>
    </row>
    <row r="17" spans="2:29" ht="17.100000000000001" customHeight="1">
      <c r="B17" s="24">
        <f t="shared" si="1"/>
        <v>43871</v>
      </c>
      <c r="C17" s="25">
        <f t="shared" si="0"/>
        <v>43871</v>
      </c>
      <c r="D17" s="19"/>
      <c r="E17" s="58"/>
      <c r="F17" s="29"/>
      <c r="G17" s="20"/>
      <c r="H17" s="209">
        <v>0.41666666666666669</v>
      </c>
      <c r="I17" s="210"/>
      <c r="J17" s="287" t="s">
        <v>3</v>
      </c>
      <c r="K17" s="287"/>
      <c r="L17" s="75">
        <v>0.83333333333333337</v>
      </c>
      <c r="M17" s="21">
        <v>8.5</v>
      </c>
      <c r="N17" s="21"/>
      <c r="O17" s="273">
        <v>0.5</v>
      </c>
      <c r="P17" s="274"/>
      <c r="Q17" s="22"/>
      <c r="R17" s="42"/>
      <c r="S17" s="281"/>
      <c r="T17" s="282"/>
      <c r="U17" s="282"/>
      <c r="V17" s="282"/>
      <c r="W17" s="283"/>
      <c r="X17" s="23"/>
      <c r="Y17" s="26">
        <v>0.79166668653488159</v>
      </c>
      <c r="Z17" s="27"/>
      <c r="AA17" s="28"/>
      <c r="AB17" s="23"/>
      <c r="AC17" s="64" t="s">
        <v>34</v>
      </c>
    </row>
    <row r="18" spans="2:29" ht="17.100000000000001" customHeight="1">
      <c r="B18" s="24">
        <f t="shared" si="1"/>
        <v>43872</v>
      </c>
      <c r="C18" s="25">
        <f t="shared" si="0"/>
        <v>43872</v>
      </c>
      <c r="D18" s="19"/>
      <c r="E18" s="58"/>
      <c r="F18" s="29"/>
      <c r="G18" s="20"/>
      <c r="H18" s="209"/>
      <c r="I18" s="210"/>
      <c r="J18" s="287" t="s">
        <v>3</v>
      </c>
      <c r="K18" s="287"/>
      <c r="L18" s="75"/>
      <c r="M18" s="21"/>
      <c r="N18" s="21"/>
      <c r="O18" s="273"/>
      <c r="P18" s="274"/>
      <c r="Q18" s="22"/>
      <c r="R18" s="42"/>
      <c r="S18" s="281"/>
      <c r="T18" s="282"/>
      <c r="U18" s="282"/>
      <c r="V18" s="282"/>
      <c r="W18" s="283"/>
      <c r="X18" s="23"/>
      <c r="Y18" s="26"/>
      <c r="Z18" s="27"/>
      <c r="AA18" s="28"/>
      <c r="AB18" s="23"/>
      <c r="AC18" s="63" t="s">
        <v>37</v>
      </c>
    </row>
    <row r="19" spans="2:29" ht="17.100000000000001" customHeight="1">
      <c r="B19" s="24">
        <f t="shared" si="1"/>
        <v>43873</v>
      </c>
      <c r="C19" s="25">
        <f t="shared" si="0"/>
        <v>43873</v>
      </c>
      <c r="D19" s="19"/>
      <c r="E19" s="58"/>
      <c r="F19" s="29"/>
      <c r="G19" s="20"/>
      <c r="H19" s="209">
        <v>0.41666666666666669</v>
      </c>
      <c r="I19" s="210"/>
      <c r="J19" s="287" t="s">
        <v>3</v>
      </c>
      <c r="K19" s="287"/>
      <c r="L19" s="75">
        <v>0.77083333333333337</v>
      </c>
      <c r="M19" s="21">
        <v>7.5</v>
      </c>
      <c r="N19" s="21"/>
      <c r="O19" s="273"/>
      <c r="P19" s="274"/>
      <c r="Q19" s="22"/>
      <c r="R19" s="42"/>
      <c r="S19" s="281"/>
      <c r="T19" s="282"/>
      <c r="U19" s="282"/>
      <c r="V19" s="282"/>
      <c r="W19" s="283"/>
      <c r="X19" s="23"/>
      <c r="Y19" s="26"/>
      <c r="Z19" s="27"/>
      <c r="AA19" s="28"/>
      <c r="AB19" s="23"/>
      <c r="AC19" s="63" t="s">
        <v>45</v>
      </c>
    </row>
    <row r="20" spans="2:29" ht="17.100000000000001" customHeight="1">
      <c r="B20" s="24">
        <f t="shared" si="1"/>
        <v>43874</v>
      </c>
      <c r="C20" s="25">
        <f t="shared" si="0"/>
        <v>43874</v>
      </c>
      <c r="D20" s="19"/>
      <c r="E20" s="58"/>
      <c r="F20" s="29"/>
      <c r="G20" s="20"/>
      <c r="H20" s="209">
        <v>0.41666666666666669</v>
      </c>
      <c r="I20" s="210"/>
      <c r="J20" s="287" t="s">
        <v>3</v>
      </c>
      <c r="K20" s="287"/>
      <c r="L20" s="75">
        <v>0.79166666666666663</v>
      </c>
      <c r="M20" s="21">
        <v>8</v>
      </c>
      <c r="N20" s="21"/>
      <c r="O20" s="273"/>
      <c r="P20" s="274"/>
      <c r="Q20" s="22"/>
      <c r="R20" s="42"/>
      <c r="S20" s="281"/>
      <c r="T20" s="282"/>
      <c r="U20" s="282"/>
      <c r="V20" s="282"/>
      <c r="W20" s="283"/>
      <c r="X20" s="23"/>
      <c r="Y20" s="26"/>
      <c r="Z20" s="27"/>
      <c r="AA20" s="28"/>
      <c r="AB20" s="23"/>
      <c r="AC20" s="63" t="s">
        <v>38</v>
      </c>
    </row>
    <row r="21" spans="2:29" ht="17.100000000000001" customHeight="1">
      <c r="B21" s="24">
        <f t="shared" si="1"/>
        <v>43875</v>
      </c>
      <c r="C21" s="25">
        <f t="shared" si="0"/>
        <v>43875</v>
      </c>
      <c r="D21" s="19"/>
      <c r="E21" s="58"/>
      <c r="F21" s="29"/>
      <c r="G21" s="20"/>
      <c r="H21" s="209">
        <v>0.41666666666666669</v>
      </c>
      <c r="I21" s="210"/>
      <c r="J21" s="287" t="s">
        <v>3</v>
      </c>
      <c r="K21" s="287"/>
      <c r="L21" s="75">
        <v>0.8125</v>
      </c>
      <c r="M21" s="21">
        <v>8</v>
      </c>
      <c r="N21" s="21"/>
      <c r="O21" s="273">
        <v>0</v>
      </c>
      <c r="P21" s="274"/>
      <c r="Q21" s="22"/>
      <c r="R21" s="42"/>
      <c r="S21" s="281"/>
      <c r="T21" s="282"/>
      <c r="U21" s="282"/>
      <c r="V21" s="282"/>
      <c r="W21" s="283"/>
      <c r="X21" s="23"/>
      <c r="Y21" s="26">
        <v>0.79166668653488159</v>
      </c>
      <c r="Z21" s="27"/>
      <c r="AA21" s="28"/>
      <c r="AB21" s="23"/>
      <c r="AC21" s="63" t="s">
        <v>31</v>
      </c>
    </row>
    <row r="22" spans="2:29" ht="17.100000000000001" customHeight="1">
      <c r="B22" s="24">
        <f t="shared" si="1"/>
        <v>43876</v>
      </c>
      <c r="C22" s="25">
        <f t="shared" si="0"/>
        <v>43876</v>
      </c>
      <c r="D22" s="19"/>
      <c r="E22" s="58"/>
      <c r="F22" s="29"/>
      <c r="G22" s="20"/>
      <c r="H22" s="209"/>
      <c r="I22" s="210"/>
      <c r="J22" s="287" t="s">
        <v>3</v>
      </c>
      <c r="K22" s="287"/>
      <c r="L22" s="75"/>
      <c r="M22" s="21"/>
      <c r="N22" s="21"/>
      <c r="O22" s="273"/>
      <c r="P22" s="274"/>
      <c r="Q22" s="22"/>
      <c r="R22" s="42"/>
      <c r="S22" s="281"/>
      <c r="T22" s="282"/>
      <c r="U22" s="282"/>
      <c r="V22" s="282"/>
      <c r="W22" s="283"/>
      <c r="X22" s="23"/>
      <c r="Y22" s="26"/>
      <c r="Z22" s="27"/>
      <c r="AA22" s="28"/>
      <c r="AB22" s="23"/>
      <c r="AC22" s="63" t="s">
        <v>32</v>
      </c>
    </row>
    <row r="23" spans="2:29" ht="17.100000000000001" customHeight="1">
      <c r="B23" s="24">
        <f t="shared" si="1"/>
        <v>43877</v>
      </c>
      <c r="C23" s="25">
        <f t="shared" si="0"/>
        <v>43877</v>
      </c>
      <c r="D23" s="19"/>
      <c r="E23" s="58"/>
      <c r="F23" s="29"/>
      <c r="G23" s="20"/>
      <c r="H23" s="209"/>
      <c r="I23" s="210"/>
      <c r="J23" s="287" t="s">
        <v>3</v>
      </c>
      <c r="K23" s="287"/>
      <c r="L23" s="75"/>
      <c r="M23" s="21"/>
      <c r="N23" s="21"/>
      <c r="O23" s="273"/>
      <c r="P23" s="274"/>
      <c r="Q23" s="22"/>
      <c r="R23" s="42"/>
      <c r="S23" s="281"/>
      <c r="T23" s="282"/>
      <c r="U23" s="282"/>
      <c r="V23" s="282"/>
      <c r="W23" s="283"/>
      <c r="X23" s="23"/>
      <c r="Y23" s="26"/>
      <c r="Z23" s="27"/>
      <c r="AA23" s="28"/>
      <c r="AB23" s="23"/>
      <c r="AC23" s="63" t="s">
        <v>102</v>
      </c>
    </row>
    <row r="24" spans="2:29" ht="17.100000000000001" customHeight="1">
      <c r="B24" s="24">
        <f t="shared" si="1"/>
        <v>43878</v>
      </c>
      <c r="C24" s="25">
        <f t="shared" si="0"/>
        <v>43878</v>
      </c>
      <c r="D24" s="19"/>
      <c r="E24" s="58"/>
      <c r="F24" s="29"/>
      <c r="G24" s="20"/>
      <c r="H24" s="209">
        <v>0.41666666666666669</v>
      </c>
      <c r="I24" s="210"/>
      <c r="J24" s="287" t="s">
        <v>3</v>
      </c>
      <c r="K24" s="287"/>
      <c r="L24" s="75">
        <v>0.8125</v>
      </c>
      <c r="M24" s="21">
        <v>8</v>
      </c>
      <c r="N24" s="21"/>
      <c r="O24" s="273">
        <v>0</v>
      </c>
      <c r="P24" s="274"/>
      <c r="Q24" s="22"/>
      <c r="R24" s="42"/>
      <c r="S24" s="281"/>
      <c r="T24" s="282"/>
      <c r="U24" s="282"/>
      <c r="V24" s="282"/>
      <c r="W24" s="283"/>
      <c r="X24" s="23"/>
      <c r="Y24" s="26">
        <v>0.79166668653488159</v>
      </c>
      <c r="Z24" s="27"/>
      <c r="AA24" s="28"/>
      <c r="AB24" s="23"/>
      <c r="AC24" s="63" t="s">
        <v>46</v>
      </c>
    </row>
    <row r="25" spans="2:29" ht="17.100000000000001" customHeight="1">
      <c r="B25" s="24">
        <f t="shared" si="1"/>
        <v>43879</v>
      </c>
      <c r="C25" s="25">
        <f t="shared" si="0"/>
        <v>43879</v>
      </c>
      <c r="D25" s="19"/>
      <c r="E25" s="58"/>
      <c r="F25" s="29"/>
      <c r="G25" s="20"/>
      <c r="H25" s="209">
        <v>0.41666666666666669</v>
      </c>
      <c r="I25" s="210"/>
      <c r="J25" s="287" t="s">
        <v>3</v>
      </c>
      <c r="K25" s="287"/>
      <c r="L25" s="75">
        <v>0.75</v>
      </c>
      <c r="M25" s="21">
        <v>7</v>
      </c>
      <c r="N25" s="21"/>
      <c r="O25" s="273"/>
      <c r="P25" s="274"/>
      <c r="Q25" s="22"/>
      <c r="R25" s="42"/>
      <c r="S25" s="281"/>
      <c r="T25" s="282"/>
      <c r="U25" s="282"/>
      <c r="V25" s="282"/>
      <c r="W25" s="283"/>
      <c r="X25" s="23"/>
      <c r="Y25" s="26"/>
      <c r="Z25" s="27"/>
      <c r="AA25" s="28"/>
      <c r="AB25" s="23"/>
      <c r="AC25" s="63" t="s">
        <v>103</v>
      </c>
    </row>
    <row r="26" spans="2:29" ht="17.100000000000001" customHeight="1">
      <c r="B26" s="24">
        <f t="shared" si="1"/>
        <v>43880</v>
      </c>
      <c r="C26" s="25">
        <f t="shared" si="0"/>
        <v>43880</v>
      </c>
      <c r="D26" s="19"/>
      <c r="E26" s="58"/>
      <c r="F26" s="29"/>
      <c r="G26" s="20"/>
      <c r="H26" s="209">
        <v>0.41666666666666669</v>
      </c>
      <c r="I26" s="210"/>
      <c r="J26" s="287" t="s">
        <v>3</v>
      </c>
      <c r="K26" s="287"/>
      <c r="L26" s="75">
        <v>0.75</v>
      </c>
      <c r="M26" s="21">
        <v>7</v>
      </c>
      <c r="N26" s="21"/>
      <c r="O26" s="273"/>
      <c r="P26" s="274"/>
      <c r="Q26" s="22"/>
      <c r="R26" s="42"/>
      <c r="S26" s="281"/>
      <c r="T26" s="282"/>
      <c r="U26" s="282"/>
      <c r="V26" s="282"/>
      <c r="W26" s="283"/>
      <c r="X26" s="23"/>
      <c r="Y26" s="26"/>
      <c r="Z26" s="27"/>
      <c r="AA26" s="28"/>
      <c r="AB26" s="23"/>
      <c r="AC26" s="63" t="s">
        <v>75</v>
      </c>
    </row>
    <row r="27" spans="2:29" ht="17.100000000000001" customHeight="1" thickBot="1">
      <c r="B27" s="24">
        <f t="shared" si="1"/>
        <v>43881</v>
      </c>
      <c r="C27" s="25">
        <f t="shared" si="0"/>
        <v>43881</v>
      </c>
      <c r="D27" s="19"/>
      <c r="E27" s="58"/>
      <c r="F27" s="29"/>
      <c r="G27" s="20"/>
      <c r="H27" s="209">
        <v>0.41666666666666669</v>
      </c>
      <c r="I27" s="210"/>
      <c r="J27" s="287" t="s">
        <v>3</v>
      </c>
      <c r="K27" s="287"/>
      <c r="L27" s="75">
        <v>0.79166666666666663</v>
      </c>
      <c r="M27" s="21">
        <v>8</v>
      </c>
      <c r="N27" s="21"/>
      <c r="O27" s="273"/>
      <c r="P27" s="274"/>
      <c r="Q27" s="22"/>
      <c r="R27" s="42"/>
      <c r="S27" s="281"/>
      <c r="T27" s="282"/>
      <c r="U27" s="282"/>
      <c r="V27" s="282"/>
      <c r="W27" s="283"/>
      <c r="X27" s="23"/>
      <c r="Y27" s="26"/>
      <c r="Z27" s="27"/>
      <c r="AA27" s="28"/>
      <c r="AB27" s="23"/>
      <c r="AC27" s="65" t="s">
        <v>76</v>
      </c>
    </row>
    <row r="28" spans="2:29" ht="17.100000000000001" customHeight="1">
      <c r="B28" s="24">
        <f t="shared" si="1"/>
        <v>43882</v>
      </c>
      <c r="C28" s="25">
        <f t="shared" si="0"/>
        <v>43882</v>
      </c>
      <c r="D28" s="19"/>
      <c r="E28" s="58"/>
      <c r="F28" s="29"/>
      <c r="G28" s="20"/>
      <c r="H28" s="209">
        <v>0.41666666666666669</v>
      </c>
      <c r="I28" s="210"/>
      <c r="J28" s="287" t="s">
        <v>3</v>
      </c>
      <c r="K28" s="287"/>
      <c r="L28" s="75">
        <v>0.79166666666666663</v>
      </c>
      <c r="M28" s="21">
        <v>8</v>
      </c>
      <c r="N28" s="21"/>
      <c r="O28" s="273"/>
      <c r="P28" s="274"/>
      <c r="Q28" s="22"/>
      <c r="R28" s="42"/>
      <c r="S28" s="281"/>
      <c r="T28" s="282"/>
      <c r="U28" s="282"/>
      <c r="V28" s="282"/>
      <c r="W28" s="283"/>
      <c r="X28" s="23"/>
      <c r="Y28" s="26"/>
      <c r="Z28" s="27"/>
      <c r="AA28" s="28"/>
      <c r="AB28" s="23"/>
    </row>
    <row r="29" spans="2:29" ht="17.100000000000001" customHeight="1">
      <c r="B29" s="24">
        <f t="shared" si="1"/>
        <v>43883</v>
      </c>
      <c r="C29" s="25">
        <f t="shared" si="0"/>
        <v>43883</v>
      </c>
      <c r="D29" s="19"/>
      <c r="E29" s="58"/>
      <c r="F29" s="29"/>
      <c r="G29" s="20"/>
      <c r="H29" s="209"/>
      <c r="I29" s="210"/>
      <c r="J29" s="287" t="s">
        <v>3</v>
      </c>
      <c r="K29" s="287"/>
      <c r="L29" s="75"/>
      <c r="M29" s="21"/>
      <c r="N29" s="21"/>
      <c r="O29" s="273"/>
      <c r="P29" s="274"/>
      <c r="Q29" s="22"/>
      <c r="R29" s="42"/>
      <c r="S29" s="281"/>
      <c r="T29" s="282"/>
      <c r="U29" s="282"/>
      <c r="V29" s="282"/>
      <c r="W29" s="283"/>
      <c r="X29" s="23"/>
      <c r="Y29" s="26"/>
      <c r="Z29" s="27"/>
      <c r="AA29" s="28"/>
      <c r="AB29" s="23"/>
    </row>
    <row r="30" spans="2:29" ht="17.100000000000001" customHeight="1">
      <c r="B30" s="24">
        <f t="shared" si="1"/>
        <v>43884</v>
      </c>
      <c r="C30" s="25">
        <f t="shared" si="0"/>
        <v>43884</v>
      </c>
      <c r="D30" s="19"/>
      <c r="E30" s="58"/>
      <c r="F30" s="29"/>
      <c r="G30" s="20"/>
      <c r="H30" s="209"/>
      <c r="I30" s="210"/>
      <c r="J30" s="287" t="s">
        <v>3</v>
      </c>
      <c r="K30" s="287"/>
      <c r="L30" s="77"/>
      <c r="M30" s="53"/>
      <c r="N30" s="21"/>
      <c r="O30" s="273"/>
      <c r="P30" s="274"/>
      <c r="Q30" s="22"/>
      <c r="R30" s="42"/>
      <c r="S30" s="281"/>
      <c r="T30" s="282"/>
      <c r="U30" s="282"/>
      <c r="V30" s="282"/>
      <c r="W30" s="283"/>
      <c r="X30" s="23"/>
      <c r="Y30" s="26"/>
      <c r="Z30" s="27"/>
      <c r="AA30" s="28"/>
      <c r="AB30" s="23"/>
    </row>
    <row r="31" spans="2:29" ht="17.100000000000001" customHeight="1">
      <c r="B31" s="24">
        <f t="shared" si="1"/>
        <v>43885</v>
      </c>
      <c r="C31" s="25">
        <f t="shared" si="0"/>
        <v>43885</v>
      </c>
      <c r="D31" s="19"/>
      <c r="E31" s="58"/>
      <c r="F31" s="29"/>
      <c r="G31" s="20"/>
      <c r="H31" s="209"/>
      <c r="I31" s="210"/>
      <c r="J31" s="287" t="s">
        <v>3</v>
      </c>
      <c r="K31" s="287"/>
      <c r="L31" s="77"/>
      <c r="M31" s="21"/>
      <c r="N31" s="21"/>
      <c r="O31" s="273"/>
      <c r="P31" s="274"/>
      <c r="Q31" s="22"/>
      <c r="R31" s="42"/>
      <c r="S31" s="281"/>
      <c r="T31" s="282"/>
      <c r="U31" s="282"/>
      <c r="V31" s="282"/>
      <c r="W31" s="283"/>
      <c r="X31" s="23"/>
      <c r="Y31" s="26"/>
      <c r="Z31" s="27"/>
      <c r="AA31" s="28"/>
      <c r="AB31" s="23"/>
    </row>
    <row r="32" spans="2:29" ht="17.100000000000001" customHeight="1">
      <c r="B32" s="24">
        <f t="shared" si="1"/>
        <v>43886</v>
      </c>
      <c r="C32" s="25">
        <f t="shared" si="0"/>
        <v>43886</v>
      </c>
      <c r="D32" s="19"/>
      <c r="E32" s="58"/>
      <c r="F32" s="29"/>
      <c r="G32" s="20"/>
      <c r="H32" s="209">
        <v>0.41666666666666669</v>
      </c>
      <c r="I32" s="210"/>
      <c r="J32" s="287" t="s">
        <v>3</v>
      </c>
      <c r="K32" s="287"/>
      <c r="L32" s="77">
        <v>0.79166666666666663</v>
      </c>
      <c r="M32" s="21">
        <v>8</v>
      </c>
      <c r="N32" s="21"/>
      <c r="O32" s="273"/>
      <c r="P32" s="274"/>
      <c r="Q32" s="22"/>
      <c r="R32" s="42"/>
      <c r="S32" s="281"/>
      <c r="T32" s="302"/>
      <c r="U32" s="302"/>
      <c r="V32" s="302"/>
      <c r="W32" s="303"/>
      <c r="X32" s="23"/>
      <c r="Y32" s="26"/>
      <c r="Z32" s="27"/>
      <c r="AA32" s="28"/>
      <c r="AB32" s="23"/>
    </row>
    <row r="33" spans="2:29" ht="17.100000000000001" customHeight="1">
      <c r="B33" s="24">
        <f t="shared" si="1"/>
        <v>43887</v>
      </c>
      <c r="C33" s="25">
        <f t="shared" si="0"/>
        <v>43887</v>
      </c>
      <c r="D33" s="19"/>
      <c r="E33" s="58"/>
      <c r="F33" s="29"/>
      <c r="G33" s="20"/>
      <c r="H33" s="209">
        <v>0.45833333333333331</v>
      </c>
      <c r="I33" s="210"/>
      <c r="J33" s="287" t="s">
        <v>3</v>
      </c>
      <c r="K33" s="287"/>
      <c r="L33" s="78">
        <v>0.79166666666666663</v>
      </c>
      <c r="M33" s="53">
        <v>7</v>
      </c>
      <c r="N33" s="21">
        <v>1</v>
      </c>
      <c r="O33" s="273"/>
      <c r="P33" s="274"/>
      <c r="Q33" s="22"/>
      <c r="R33" s="42"/>
      <c r="S33" s="281"/>
      <c r="T33" s="282"/>
      <c r="U33" s="282"/>
      <c r="V33" s="282"/>
      <c r="W33" s="283"/>
      <c r="X33" s="23" t="s">
        <v>121</v>
      </c>
      <c r="Y33" s="26"/>
      <c r="Z33" s="27"/>
      <c r="AA33" s="28"/>
      <c r="AB33" s="23"/>
    </row>
    <row r="34" spans="2:29" ht="16.5" customHeight="1">
      <c r="B34" s="24">
        <f t="shared" si="1"/>
        <v>43888</v>
      </c>
      <c r="C34" s="25">
        <f t="shared" si="0"/>
        <v>43888</v>
      </c>
      <c r="D34" s="19"/>
      <c r="E34" s="58"/>
      <c r="F34" s="29"/>
      <c r="G34" s="20"/>
      <c r="H34" s="209">
        <v>0.45833333333333331</v>
      </c>
      <c r="I34" s="210"/>
      <c r="J34" s="287" t="s">
        <v>3</v>
      </c>
      <c r="K34" s="287"/>
      <c r="L34" s="75">
        <v>0.8125</v>
      </c>
      <c r="M34" s="21">
        <v>7.5</v>
      </c>
      <c r="N34" s="21">
        <v>1</v>
      </c>
      <c r="O34" s="273"/>
      <c r="P34" s="274"/>
      <c r="Q34" s="22"/>
      <c r="R34" s="42"/>
      <c r="S34" s="281"/>
      <c r="T34" s="282"/>
      <c r="U34" s="282"/>
      <c r="V34" s="282"/>
      <c r="W34" s="283"/>
      <c r="X34" s="23" t="s">
        <v>121</v>
      </c>
      <c r="Y34" s="26"/>
      <c r="Z34" s="27"/>
      <c r="AA34" s="28"/>
      <c r="AB34" s="23"/>
    </row>
    <row r="35" spans="2:29" ht="17.100000000000001" customHeight="1">
      <c r="B35" s="24">
        <f t="shared" si="1"/>
        <v>43889</v>
      </c>
      <c r="C35" s="25">
        <f t="shared" si="0"/>
        <v>43889</v>
      </c>
      <c r="D35" s="19"/>
      <c r="E35" s="58"/>
      <c r="F35" s="29"/>
      <c r="G35" s="20"/>
      <c r="H35" s="186">
        <v>0.45833333333333331</v>
      </c>
      <c r="I35" s="187"/>
      <c r="J35" s="287" t="s">
        <v>3</v>
      </c>
      <c r="K35" s="287"/>
      <c r="L35" s="75">
        <v>0.79166666666666663</v>
      </c>
      <c r="M35" s="21">
        <v>7</v>
      </c>
      <c r="N35" s="21">
        <v>1</v>
      </c>
      <c r="O35" s="273"/>
      <c r="P35" s="274"/>
      <c r="Q35" s="22"/>
      <c r="R35" s="42"/>
      <c r="S35" s="281"/>
      <c r="T35" s="282"/>
      <c r="U35" s="282"/>
      <c r="V35" s="282"/>
      <c r="W35" s="283"/>
      <c r="X35" s="23" t="s">
        <v>121</v>
      </c>
      <c r="Y35" s="26"/>
      <c r="Z35" s="27"/>
      <c r="AA35" s="28"/>
      <c r="AB35" s="23"/>
    </row>
    <row r="36" spans="2:29" ht="17.100000000000001" customHeight="1">
      <c r="B36" s="24">
        <f>IF(DAY(B35+1)&lt;=3,"",B35+1)</f>
        <v>43890</v>
      </c>
      <c r="C36" s="25">
        <f t="shared" si="0"/>
        <v>43890</v>
      </c>
      <c r="D36" s="19"/>
      <c r="E36" s="58"/>
      <c r="F36" s="29"/>
      <c r="G36" s="20"/>
      <c r="H36" s="209"/>
      <c r="I36" s="210"/>
      <c r="J36" s="287" t="s">
        <v>3</v>
      </c>
      <c r="K36" s="287"/>
      <c r="L36" s="75"/>
      <c r="M36" s="21"/>
      <c r="N36" s="21"/>
      <c r="O36" s="273"/>
      <c r="P36" s="274"/>
      <c r="Q36" s="22"/>
      <c r="R36" s="42"/>
      <c r="S36" s="281"/>
      <c r="T36" s="282"/>
      <c r="U36" s="282"/>
      <c r="V36" s="282"/>
      <c r="W36" s="283"/>
      <c r="X36" s="23"/>
      <c r="Y36" s="26"/>
      <c r="Z36" s="27"/>
      <c r="AA36" s="28"/>
      <c r="AB36" s="23"/>
    </row>
    <row r="37" spans="2:29" ht="17.100000000000001" customHeight="1">
      <c r="B37" s="24" t="str">
        <f>IF(DAY(B35+2)&lt;=3,"",B36+1)</f>
        <v/>
      </c>
      <c r="C37" s="25" t="str">
        <f t="shared" si="0"/>
        <v/>
      </c>
      <c r="D37" s="19"/>
      <c r="E37" s="58"/>
      <c r="F37" s="29"/>
      <c r="G37" s="20"/>
      <c r="H37" s="209"/>
      <c r="I37" s="210"/>
      <c r="J37" s="287" t="s">
        <v>3</v>
      </c>
      <c r="K37" s="287"/>
      <c r="L37" s="75"/>
      <c r="M37" s="21"/>
      <c r="N37" s="21"/>
      <c r="O37" s="273"/>
      <c r="P37" s="274"/>
      <c r="Q37" s="22"/>
      <c r="R37" s="42"/>
      <c r="S37" s="281"/>
      <c r="T37" s="282"/>
      <c r="U37" s="282"/>
      <c r="V37" s="282"/>
      <c r="W37" s="283"/>
      <c r="X37" s="23"/>
      <c r="Y37" s="26"/>
      <c r="Z37" s="27"/>
      <c r="AA37" s="28"/>
      <c r="AB37" s="23"/>
    </row>
    <row r="38" spans="2:29" ht="17.100000000000001" customHeight="1" thickBot="1">
      <c r="B38" s="24" t="str">
        <f>IF(DAY(B35+3)&lt;=3,"",B37+1)</f>
        <v/>
      </c>
      <c r="C38" s="25" t="str">
        <f t="shared" si="0"/>
        <v/>
      </c>
      <c r="D38" s="19"/>
      <c r="E38" s="58"/>
      <c r="F38" s="29"/>
      <c r="G38" s="20"/>
      <c r="H38" s="209"/>
      <c r="I38" s="210"/>
      <c r="J38" s="288" t="s">
        <v>3</v>
      </c>
      <c r="K38" s="288"/>
      <c r="L38" s="75"/>
      <c r="M38" s="21"/>
      <c r="N38" s="21"/>
      <c r="O38" s="273"/>
      <c r="P38" s="274"/>
      <c r="Q38" s="22"/>
      <c r="R38" s="42"/>
      <c r="S38" s="297"/>
      <c r="T38" s="298"/>
      <c r="U38" s="298"/>
      <c r="V38" s="298"/>
      <c r="W38" s="299"/>
      <c r="X38" s="23"/>
      <c r="Y38" s="30"/>
      <c r="Z38" s="31"/>
      <c r="AA38" s="32"/>
      <c r="AB38" s="23"/>
    </row>
    <row r="39" spans="2:29" ht="17.100000000000001" customHeight="1" thickTop="1">
      <c r="B39" s="154" t="s">
        <v>4</v>
      </c>
      <c r="C39" s="155"/>
      <c r="D39" s="156"/>
      <c r="E39" s="155" t="s">
        <v>5</v>
      </c>
      <c r="F39" s="160"/>
      <c r="G39" s="160"/>
      <c r="H39" s="160"/>
      <c r="I39" s="160"/>
      <c r="J39" s="160"/>
      <c r="K39" s="160"/>
      <c r="L39" s="161"/>
      <c r="M39" s="164">
        <f>SUM(M8:M38)</f>
        <v>138.5</v>
      </c>
      <c r="N39" s="166">
        <f>SUM(N8:N38)</f>
        <v>3</v>
      </c>
      <c r="O39" s="168">
        <f>SUM(O8:P38)</f>
        <v>0.5</v>
      </c>
      <c r="P39" s="169"/>
      <c r="Q39" s="166">
        <f>SUM(Q8:Q38)</f>
        <v>0</v>
      </c>
      <c r="R39" s="168">
        <f>SUM(R8:R38)</f>
        <v>0</v>
      </c>
      <c r="S39" s="173" t="s">
        <v>66</v>
      </c>
      <c r="T39" s="174"/>
      <c r="U39" s="192">
        <f>IF($N$39=0,"",$N$39)</f>
        <v>3</v>
      </c>
      <c r="V39" s="193"/>
      <c r="W39" s="37" t="s">
        <v>63</v>
      </c>
    </row>
    <row r="40" spans="2:29" ht="17.100000000000001" customHeight="1" thickBot="1">
      <c r="B40" s="157"/>
      <c r="C40" s="158"/>
      <c r="D40" s="159"/>
      <c r="E40" s="162"/>
      <c r="F40" s="162"/>
      <c r="G40" s="162"/>
      <c r="H40" s="162"/>
      <c r="I40" s="162"/>
      <c r="J40" s="162"/>
      <c r="K40" s="162"/>
      <c r="L40" s="163"/>
      <c r="M40" s="165"/>
      <c r="N40" s="167"/>
      <c r="O40" s="170"/>
      <c r="P40" s="171"/>
      <c r="Q40" s="167"/>
      <c r="R40" s="172"/>
      <c r="S40" s="175"/>
      <c r="T40" s="176"/>
      <c r="U40" s="127" t="str">
        <f>IF(OR(COUNTIF($D$8:$D$38,"遅刻")&gt;0,COUNTIF($D$8:$D$38,"早退")&gt;0,COUNTIF($D$8:$D$38,"外出")&gt;0),COUNTIF($D$8:$D$38,"遅刻")+COUNTIF($D$8:$D$38,"早退")+COUNTIF($D$8:$D$38,"外出"),"")</f>
        <v/>
      </c>
      <c r="V40" s="180"/>
      <c r="W40" s="38" t="s">
        <v>29</v>
      </c>
    </row>
    <row r="41" spans="2:29" ht="17.100000000000001" customHeight="1">
      <c r="B41" s="150" t="s">
        <v>21</v>
      </c>
      <c r="C41" s="152" t="s">
        <v>64</v>
      </c>
      <c r="D41" s="153"/>
      <c r="E41" s="177" t="s">
        <v>22</v>
      </c>
      <c r="F41" s="178"/>
      <c r="G41" s="178"/>
      <c r="H41" s="178"/>
      <c r="I41" s="178"/>
      <c r="J41" s="178"/>
      <c r="K41" s="178"/>
      <c r="L41" s="179"/>
      <c r="M41" s="33" t="s">
        <v>51</v>
      </c>
      <c r="N41" s="1" t="s">
        <v>52</v>
      </c>
      <c r="O41" s="181" t="s">
        <v>6</v>
      </c>
      <c r="P41" s="182"/>
      <c r="Q41" s="1" t="s">
        <v>53</v>
      </c>
      <c r="R41" s="1" t="s">
        <v>42</v>
      </c>
      <c r="S41" s="125" t="s">
        <v>23</v>
      </c>
      <c r="T41" s="126"/>
      <c r="U41" s="127" t="str">
        <f>IF(OR(COUNTIF($D$8:$D$38,"有休")&gt;0,COUNTIF($D$8:$D$38,"半有")&gt;0,COUNTIF($D$8:$D$38,"半有+半代")&gt;0,COUNTIF($D$8:$D$38,"半有+半特")&gt;0),COUNTIF($D$8:$D$38,"有休")+COUNTIF($D$8:$D$38,"半有")*0.5+COUNTIF($D$8:$D$38,"半有+半代")*0.5+COUNTIF($D$8:$D$38,"半代+半特")*0.5,"")</f>
        <v/>
      </c>
      <c r="V41" s="128"/>
      <c r="W41" s="38" t="s">
        <v>27</v>
      </c>
    </row>
    <row r="42" spans="2:29" ht="17.100000000000001" customHeight="1">
      <c r="B42" s="151"/>
      <c r="C42" s="119">
        <v>1</v>
      </c>
      <c r="D42" s="120"/>
      <c r="E42" s="119"/>
      <c r="F42" s="121"/>
      <c r="G42" s="121"/>
      <c r="H42" s="121"/>
      <c r="I42" s="121"/>
      <c r="J42" s="121"/>
      <c r="K42" s="121"/>
      <c r="L42" s="122"/>
      <c r="M42" s="34"/>
      <c r="N42" s="34"/>
      <c r="O42" s="123"/>
      <c r="P42" s="124"/>
      <c r="Q42" s="34"/>
      <c r="R42" s="40"/>
      <c r="S42" s="125" t="s">
        <v>47</v>
      </c>
      <c r="T42" s="126"/>
      <c r="U42" s="127" t="str">
        <f>IF(COUNTIF($D$8:$D$38,"休出")&gt;0,COUNTIF($R$8:$R$38,"&gt;=8")+(COUNTIF($R$8:$R$38,"&lt;8")-COUNTIF($R$8:$R$38,"&lt;4"))*0.5,"")</f>
        <v/>
      </c>
      <c r="V42" s="128"/>
      <c r="W42" s="38" t="s">
        <v>27</v>
      </c>
    </row>
    <row r="43" spans="2:29" ht="17.100000000000001" customHeight="1">
      <c r="B43" s="151"/>
      <c r="C43" s="119">
        <v>2</v>
      </c>
      <c r="D43" s="120"/>
      <c r="E43" s="119"/>
      <c r="F43" s="121"/>
      <c r="G43" s="121"/>
      <c r="H43" s="121"/>
      <c r="I43" s="121"/>
      <c r="J43" s="121"/>
      <c r="K43" s="121"/>
      <c r="L43" s="122"/>
      <c r="M43" s="34"/>
      <c r="N43" s="34"/>
      <c r="O43" s="123"/>
      <c r="P43" s="124"/>
      <c r="Q43" s="34"/>
      <c r="R43" s="40"/>
      <c r="S43" s="125" t="s">
        <v>48</v>
      </c>
      <c r="T43" s="126"/>
      <c r="U43" s="127" t="str">
        <f>IF(OR(COUNTIF($D$8:$D$38,"代休")&gt;0,COUNTIF($D$8:$D$38,"半代")&gt;0,COUNTIF($D$8:$D$38,"半有+半代")&gt;0,COUNTIF($D$8:$D$38,"半代+半特")&gt;0),COUNTIF($D$8:$D$38,"代休")+COUNTIF($D$8:$D$38,"半代")*0.5+COUNTIF($D$8:$D$38,"半有+半代")*0.5+COUNTIF($D$8:$D$38,"半代+半特")*0.5,"")</f>
        <v/>
      </c>
      <c r="V43" s="128"/>
      <c r="W43" s="38" t="s">
        <v>27</v>
      </c>
    </row>
    <row r="44" spans="2:29" ht="17.100000000000001" customHeight="1" thickBot="1">
      <c r="B44" s="151"/>
      <c r="C44" s="131">
        <v>3</v>
      </c>
      <c r="D44" s="132"/>
      <c r="E44" s="131"/>
      <c r="F44" s="133"/>
      <c r="G44" s="133"/>
      <c r="H44" s="133"/>
      <c r="I44" s="133"/>
      <c r="J44" s="133"/>
      <c r="K44" s="133"/>
      <c r="L44" s="134"/>
      <c r="M44" s="35" t="str">
        <f>IF(M42="","",IF(M42+M43=M39,"",M39-M42-M43))</f>
        <v/>
      </c>
      <c r="N44" s="35" t="str">
        <f>IF(M42="","",IF(M44="","",M44/$M$39))</f>
        <v/>
      </c>
      <c r="O44" s="135" t="str">
        <f>IF(O42="","",IF(O42+O43=O39,"",O39-O42-O43))</f>
        <v/>
      </c>
      <c r="P44" s="136" t="str">
        <f>IF(P42="","",IF(P42+P43=P39,"",P39-P42-P43))</f>
        <v/>
      </c>
      <c r="Q44" s="35" t="str">
        <f>IF(Q42="","",IF(Q42+Q43=Q39,"",Q39-Q42-Q43))</f>
        <v/>
      </c>
      <c r="R44" s="41" t="str">
        <f>IF(R42="","",IF(R42+R43=R39,"",R39-R42-R43))</f>
        <v/>
      </c>
      <c r="S44" s="125" t="s">
        <v>24</v>
      </c>
      <c r="T44" s="126"/>
      <c r="U44" s="127" t="str">
        <f>IF(OR(COUNTIF($D$8:$D$38,"特休")&gt;0,COUNTIF($D$8:$D$38,"半特")&gt;0,COUNTIF($D$8:$D$38,"半有+半特")&gt;0,COUNTIF($D$8:$D$38,"半代+半特")&gt;0),COUNTIF($D$8:$D$38,"特休")+COUNTIF($D$8:$D$38,"半特")*0.5+COUNTIF($D$8:$D$38,"半有+半特")*0.5+COUNTIF($D$8:$D$38,"半代+半特")*0.5,"")</f>
        <v/>
      </c>
      <c r="V44" s="128"/>
      <c r="W44" s="38" t="s">
        <v>27</v>
      </c>
    </row>
    <row r="45" spans="2:29" ht="17.100000000000001" customHeight="1" thickBot="1">
      <c r="B45" s="143" t="s">
        <v>112</v>
      </c>
      <c r="C45" s="144"/>
      <c r="D45" s="144"/>
      <c r="E45" s="144"/>
      <c r="F45" s="144"/>
      <c r="G45" s="144"/>
      <c r="H45" s="144"/>
      <c r="I45" s="144"/>
      <c r="J45" s="144"/>
      <c r="K45" s="145"/>
      <c r="L45" s="146"/>
      <c r="M45" s="147"/>
      <c r="N45" s="146" t="s">
        <v>68</v>
      </c>
      <c r="O45" s="148"/>
      <c r="P45" s="147"/>
      <c r="Q45" s="146" t="s">
        <v>67</v>
      </c>
      <c r="R45" s="149"/>
      <c r="S45" s="125" t="s">
        <v>25</v>
      </c>
      <c r="T45" s="126"/>
      <c r="U45" s="127" t="str">
        <f>IF(COUNTIF($D$8:$D$38,"公休")&gt;0,COUNTIF($D$8:$D$38,"公休"),"")</f>
        <v/>
      </c>
      <c r="V45" s="137"/>
      <c r="W45" s="38" t="s">
        <v>27</v>
      </c>
    </row>
    <row r="46" spans="2:29" ht="17.100000000000001" customHeight="1">
      <c r="B46" s="138" t="s">
        <v>58</v>
      </c>
      <c r="C46" s="139"/>
      <c r="D46" s="139"/>
      <c r="E46" s="139"/>
      <c r="F46" s="139"/>
      <c r="G46" s="139"/>
      <c r="H46" s="139"/>
      <c r="I46" s="139"/>
      <c r="J46" s="139"/>
      <c r="K46" s="140"/>
      <c r="L46" s="108"/>
      <c r="M46" s="101"/>
      <c r="N46" s="99"/>
      <c r="O46" s="100"/>
      <c r="P46" s="101"/>
      <c r="Q46" s="108"/>
      <c r="R46" s="109"/>
      <c r="S46" s="125" t="s">
        <v>26</v>
      </c>
      <c r="T46" s="126"/>
      <c r="U46" s="127" t="str">
        <f>IF(OR(COUNTIF($D$8:$D$38,"欠勤")&gt;0,COUNTIF($D$8:$D$38,"半欠")&gt;0),COUNTIF($D$8:$D$38,"欠勤")+COUNTIF($D$8:$D$38,"半欠")*0.5,"")</f>
        <v/>
      </c>
      <c r="V46" s="137"/>
      <c r="W46" s="38" t="s">
        <v>27</v>
      </c>
    </row>
    <row r="47" spans="2:29" ht="17.100000000000001" customHeight="1">
      <c r="B47" s="138" t="s">
        <v>110</v>
      </c>
      <c r="C47" s="139"/>
      <c r="D47" s="139"/>
      <c r="E47" s="139"/>
      <c r="F47" s="139"/>
      <c r="G47" s="139"/>
      <c r="H47" s="139"/>
      <c r="I47" s="139"/>
      <c r="J47" s="139"/>
      <c r="K47" s="140"/>
      <c r="L47" s="102"/>
      <c r="M47" s="104"/>
      <c r="N47" s="102"/>
      <c r="O47" s="103"/>
      <c r="P47" s="104"/>
      <c r="Q47" s="110"/>
      <c r="R47" s="111"/>
      <c r="S47" s="125" t="s">
        <v>57</v>
      </c>
      <c r="T47" s="126"/>
      <c r="U47" s="141" t="str">
        <f>IF(COUNTIF($D$8:$D$38,"シフト")&gt;0,COUNTIF($D$8:$D$38,"シフト"),"")</f>
        <v/>
      </c>
      <c r="V47" s="142"/>
      <c r="W47" s="39" t="s">
        <v>29</v>
      </c>
    </row>
    <row r="48" spans="2:29" ht="17.100000000000001" customHeight="1" thickBot="1">
      <c r="B48" s="114" t="s">
        <v>59</v>
      </c>
      <c r="C48" s="115"/>
      <c r="D48" s="115"/>
      <c r="E48" s="115"/>
      <c r="F48" s="115"/>
      <c r="G48" s="115"/>
      <c r="H48" s="115"/>
      <c r="I48" s="115"/>
      <c r="J48" s="115"/>
      <c r="K48" s="116"/>
      <c r="L48" s="105"/>
      <c r="M48" s="107"/>
      <c r="N48" s="105"/>
      <c r="O48" s="106"/>
      <c r="P48" s="107"/>
      <c r="Q48" s="112"/>
      <c r="R48" s="113"/>
      <c r="S48" s="117" t="s">
        <v>113</v>
      </c>
      <c r="T48" s="118"/>
      <c r="U48" s="129"/>
      <c r="V48" s="130"/>
      <c r="W48" s="76"/>
      <c r="AC48" s="36"/>
    </row>
    <row r="49" spans="8:29" s="36" customFormat="1" ht="17.100000000000001" customHeight="1">
      <c r="H49" s="48"/>
      <c r="I49" s="48"/>
      <c r="J49" s="48"/>
      <c r="K49" s="48"/>
      <c r="L49" s="48"/>
      <c r="AC49" s="5"/>
    </row>
  </sheetData>
  <mergeCells count="210">
    <mergeCell ref="O4:Q4"/>
    <mergeCell ref="H31:I31"/>
    <mergeCell ref="J31:K31"/>
    <mergeCell ref="AE6:AE7"/>
    <mergeCell ref="S44:T44"/>
    <mergeCell ref="U41:V41"/>
    <mergeCell ref="U45:V45"/>
    <mergeCell ref="U39:V39"/>
    <mergeCell ref="U47:V47"/>
    <mergeCell ref="U40:V40"/>
    <mergeCell ref="S41:T41"/>
    <mergeCell ref="Q45:R45"/>
    <mergeCell ref="Q46:R48"/>
    <mergeCell ref="Q39:Q40"/>
    <mergeCell ref="S27:W27"/>
    <mergeCell ref="S32:W32"/>
    <mergeCell ref="R39:R40"/>
    <mergeCell ref="S48:T48"/>
    <mergeCell ref="S36:W36"/>
    <mergeCell ref="U48:V48"/>
    <mergeCell ref="S30:W30"/>
    <mergeCell ref="S37:W37"/>
    <mergeCell ref="S29:W29"/>
    <mergeCell ref="S33:W33"/>
    <mergeCell ref="S47:T47"/>
    <mergeCell ref="S28:W28"/>
    <mergeCell ref="U46:V46"/>
    <mergeCell ref="S45:T45"/>
    <mergeCell ref="S46:T46"/>
    <mergeCell ref="S34:W34"/>
    <mergeCell ref="U42:V42"/>
    <mergeCell ref="S38:W38"/>
    <mergeCell ref="AC6:AC7"/>
    <mergeCell ref="Z6:AA6"/>
    <mergeCell ref="Y6:Y7"/>
    <mergeCell ref="M3:N4"/>
    <mergeCell ref="S26:W26"/>
    <mergeCell ref="U44:V44"/>
    <mergeCell ref="O23:P23"/>
    <mergeCell ref="S14:W14"/>
    <mergeCell ref="O18:P18"/>
    <mergeCell ref="S35:W35"/>
    <mergeCell ref="U43:V43"/>
    <mergeCell ref="S42:T42"/>
    <mergeCell ref="S39:T40"/>
    <mergeCell ref="S43:T43"/>
    <mergeCell ref="O12:P12"/>
    <mergeCell ref="O13:P13"/>
    <mergeCell ref="N39:N40"/>
    <mergeCell ref="O41:P41"/>
    <mergeCell ref="S24:W24"/>
    <mergeCell ref="S31:W31"/>
    <mergeCell ref="O26:P26"/>
    <mergeCell ref="O27:P27"/>
    <mergeCell ref="S16:W16"/>
    <mergeCell ref="S17:W17"/>
    <mergeCell ref="S15:W15"/>
    <mergeCell ref="O30:P30"/>
    <mergeCell ref="O28:P28"/>
    <mergeCell ref="L46:M48"/>
    <mergeCell ref="L45:M45"/>
    <mergeCell ref="N45:P45"/>
    <mergeCell ref="N46:P48"/>
    <mergeCell ref="S19:W19"/>
    <mergeCell ref="S18:W18"/>
    <mergeCell ref="S20:W20"/>
    <mergeCell ref="S21:W21"/>
    <mergeCell ref="J18:K18"/>
    <mergeCell ref="O44:P44"/>
    <mergeCell ref="O39:P40"/>
    <mergeCell ref="E41:L41"/>
    <mergeCell ref="B46:K46"/>
    <mergeCell ref="B47:K47"/>
    <mergeCell ref="M39:M40"/>
    <mergeCell ref="O43:P43"/>
    <mergeCell ref="B39:D40"/>
    <mergeCell ref="E39:L40"/>
    <mergeCell ref="C44:D44"/>
    <mergeCell ref="E42:L42"/>
    <mergeCell ref="E43:L43"/>
    <mergeCell ref="E44:L44"/>
    <mergeCell ref="C42:D42"/>
    <mergeCell ref="C43:D43"/>
    <mergeCell ref="H19:I19"/>
    <mergeCell ref="H13:I13"/>
    <mergeCell ref="H27:I27"/>
    <mergeCell ref="H10:I10"/>
    <mergeCell ref="J21:K21"/>
    <mergeCell ref="H14:I14"/>
    <mergeCell ref="H15:I15"/>
    <mergeCell ref="H16:I16"/>
    <mergeCell ref="H17:I17"/>
    <mergeCell ref="H22:I22"/>
    <mergeCell ref="H21:I21"/>
    <mergeCell ref="H24:I24"/>
    <mergeCell ref="H18:I18"/>
    <mergeCell ref="H26:I26"/>
    <mergeCell ref="J19:K19"/>
    <mergeCell ref="H20:I20"/>
    <mergeCell ref="H11:I11"/>
    <mergeCell ref="H25:I25"/>
    <mergeCell ref="J17:K17"/>
    <mergeCell ref="B2:D3"/>
    <mergeCell ref="J12:K12"/>
    <mergeCell ref="E2:F2"/>
    <mergeCell ref="E6:E7"/>
    <mergeCell ref="B5:R5"/>
    <mergeCell ref="L3:L4"/>
    <mergeCell ref="G2:H2"/>
    <mergeCell ref="H6:L7"/>
    <mergeCell ref="H3:K4"/>
    <mergeCell ref="I2:L2"/>
    <mergeCell ref="B4:D4"/>
    <mergeCell ref="B6:B7"/>
    <mergeCell ref="C6:C7"/>
    <mergeCell ref="F6:F7"/>
    <mergeCell ref="D6:D7"/>
    <mergeCell ref="H9:I9"/>
    <mergeCell ref="O2:Q2"/>
    <mergeCell ref="M2:N2"/>
    <mergeCell ref="N6:N7"/>
    <mergeCell ref="H12:I12"/>
    <mergeCell ref="G6:G7"/>
    <mergeCell ref="E3:F4"/>
    <mergeCell ref="H8:I8"/>
    <mergeCell ref="R6:R7"/>
    <mergeCell ref="O42:P42"/>
    <mergeCell ref="O32:P32"/>
    <mergeCell ref="O29:P29"/>
    <mergeCell ref="O19:P19"/>
    <mergeCell ref="O37:P37"/>
    <mergeCell ref="O38:P38"/>
    <mergeCell ref="S5:W5"/>
    <mergeCell ref="J15:K15"/>
    <mergeCell ref="J16:K16"/>
    <mergeCell ref="J20:K20"/>
    <mergeCell ref="Q6:Q7"/>
    <mergeCell ref="O6:P7"/>
    <mergeCell ref="O14:P14"/>
    <mergeCell ref="O15:P15"/>
    <mergeCell ref="O8:P8"/>
    <mergeCell ref="O9:P9"/>
    <mergeCell ref="J13:K13"/>
    <mergeCell ref="J14:K14"/>
    <mergeCell ref="J22:K22"/>
    <mergeCell ref="S22:W22"/>
    <mergeCell ref="S23:W23"/>
    <mergeCell ref="O16:P16"/>
    <mergeCell ref="O17:P17"/>
    <mergeCell ref="O31:P31"/>
    <mergeCell ref="V2:W2"/>
    <mergeCell ref="V3:W3"/>
    <mergeCell ref="V4:W4"/>
    <mergeCell ref="R2:S2"/>
    <mergeCell ref="R4:S4"/>
    <mergeCell ref="R3:S3"/>
    <mergeCell ref="O36:P36"/>
    <mergeCell ref="J28:K28"/>
    <mergeCell ref="J33:K33"/>
    <mergeCell ref="O33:P33"/>
    <mergeCell ref="O34:P34"/>
    <mergeCell ref="O35:P35"/>
    <mergeCell ref="J11:K11"/>
    <mergeCell ref="O10:P10"/>
    <mergeCell ref="O11:P11"/>
    <mergeCell ref="J9:K9"/>
    <mergeCell ref="J8:K8"/>
    <mergeCell ref="J10:K10"/>
    <mergeCell ref="J30:K30"/>
    <mergeCell ref="J27:K27"/>
    <mergeCell ref="J25:K25"/>
    <mergeCell ref="J26:K26"/>
    <mergeCell ref="O3:Q3"/>
    <mergeCell ref="S25:W25"/>
    <mergeCell ref="H35:I35"/>
    <mergeCell ref="H36:I36"/>
    <mergeCell ref="J29:K29"/>
    <mergeCell ref="H33:I33"/>
    <mergeCell ref="B41:B44"/>
    <mergeCell ref="H23:I23"/>
    <mergeCell ref="B48:K48"/>
    <mergeCell ref="J35:K35"/>
    <mergeCell ref="J36:K36"/>
    <mergeCell ref="H28:I28"/>
    <mergeCell ref="B45:K45"/>
    <mergeCell ref="H37:I37"/>
    <mergeCell ref="H38:I38"/>
    <mergeCell ref="J38:K38"/>
    <mergeCell ref="J34:K34"/>
    <mergeCell ref="H34:I34"/>
    <mergeCell ref="H32:I32"/>
    <mergeCell ref="H30:I30"/>
    <mergeCell ref="J23:K23"/>
    <mergeCell ref="J24:K24"/>
    <mergeCell ref="H29:I29"/>
    <mergeCell ref="J37:K37"/>
    <mergeCell ref="J32:K32"/>
    <mergeCell ref="C41:D41"/>
    <mergeCell ref="O20:P20"/>
    <mergeCell ref="O21:P21"/>
    <mergeCell ref="O24:P24"/>
    <mergeCell ref="O22:P22"/>
    <mergeCell ref="O25:P25"/>
    <mergeCell ref="S6:W7"/>
    <mergeCell ref="S10:W10"/>
    <mergeCell ref="S11:W11"/>
    <mergeCell ref="S12:W12"/>
    <mergeCell ref="S8:W8"/>
    <mergeCell ref="S9:W9"/>
    <mergeCell ref="S13:W13"/>
  </mergeCells>
  <phoneticPr fontId="5"/>
  <conditionalFormatting sqref="B12:C12 M12:W12">
    <cfRule type="expression" dxfId="187" priority="1301" stopIfTrue="1">
      <formula>WEEKDAY($C12)=7</formula>
    </cfRule>
    <cfRule type="expression" dxfId="186" priority="1302" stopIfTrue="1">
      <formula>WEEKDAY($C12)=1</formula>
    </cfRule>
  </conditionalFormatting>
  <conditionalFormatting sqref="B8:C11 M8:W11">
    <cfRule type="expression" dxfId="185" priority="1299" stopIfTrue="1">
      <formula>WEEKDAY($C8)=7</formula>
    </cfRule>
    <cfRule type="expression" dxfId="184" priority="1300" stopIfTrue="1">
      <formula>WEEKDAY($C8)=1</formula>
    </cfRule>
  </conditionalFormatting>
  <conditionalFormatting sqref="B13:C38 M14:W30 M32:W32 N31:W31 M34:W38 N33:W33 N13:W13">
    <cfRule type="expression" dxfId="183" priority="1297" stopIfTrue="1">
      <formula>WEEKDAY($C13)=7</formula>
    </cfRule>
    <cfRule type="expression" dxfId="182" priority="1298" stopIfTrue="1">
      <formula>WEEKDAY($C13)=1</formula>
    </cfRule>
  </conditionalFormatting>
  <conditionalFormatting sqref="D12 F12:G12">
    <cfRule type="expression" dxfId="181" priority="219" stopIfTrue="1">
      <formula>WEEKDAY($C12)=7</formula>
    </cfRule>
    <cfRule type="expression" dxfId="180" priority="220" stopIfTrue="1">
      <formula>WEEKDAY($C12)=1</formula>
    </cfRule>
  </conditionalFormatting>
  <conditionalFormatting sqref="D8:G10 D11 F11:G11">
    <cfRule type="expression" dxfId="179" priority="217" stopIfTrue="1">
      <formula>WEEKDAY($C8)=7</formula>
    </cfRule>
    <cfRule type="expression" dxfId="178" priority="218" stopIfTrue="1">
      <formula>WEEKDAY($C8)=1</formula>
    </cfRule>
  </conditionalFormatting>
  <conditionalFormatting sqref="D13:D15 F15:L15 F13:G13 D16:G16 D22:G23 D17:D21 F17:G21 D29:G32 D24:D28 F24:G28 D35:G38 D33:D34 F33:G34 F14:K14">
    <cfRule type="expression" dxfId="177" priority="215" stopIfTrue="1">
      <formula>WEEKDAY($C13)=7</formula>
    </cfRule>
    <cfRule type="expression" dxfId="176" priority="216" stopIfTrue="1">
      <formula>WEEKDAY($C13)=1</formula>
    </cfRule>
  </conditionalFormatting>
  <conditionalFormatting sqref="H8:L8 J11:K13">
    <cfRule type="expression" dxfId="175" priority="213" stopIfTrue="1">
      <formula>WEEKDAY($C8)=7</formula>
    </cfRule>
    <cfRule type="expression" dxfId="174" priority="214" stopIfTrue="1">
      <formula>WEEKDAY($C8)=1</formula>
    </cfRule>
  </conditionalFormatting>
  <conditionalFormatting sqref="H12:I12">
    <cfRule type="expression" dxfId="173" priority="209" stopIfTrue="1">
      <formula>WEEKDAY($C12)=7</formula>
    </cfRule>
    <cfRule type="expression" dxfId="172" priority="210" stopIfTrue="1">
      <formula>WEEKDAY($C12)=1</formula>
    </cfRule>
  </conditionalFormatting>
  <conditionalFormatting sqref="H11:I11">
    <cfRule type="expression" dxfId="171" priority="207" stopIfTrue="1">
      <formula>WEEKDAY($C11)=7</formula>
    </cfRule>
    <cfRule type="expression" dxfId="170" priority="208" stopIfTrue="1">
      <formula>WEEKDAY($C11)=1</formula>
    </cfRule>
  </conditionalFormatting>
  <conditionalFormatting sqref="L11">
    <cfRule type="expression" dxfId="169" priority="205" stopIfTrue="1">
      <formula>WEEKDAY($C11)=7</formula>
    </cfRule>
    <cfRule type="expression" dxfId="168" priority="206" stopIfTrue="1">
      <formula>WEEKDAY($C11)=1</formula>
    </cfRule>
  </conditionalFormatting>
  <conditionalFormatting sqref="J10:K10">
    <cfRule type="expression" dxfId="167" priority="199" stopIfTrue="1">
      <formula>WEEKDAY($C10)=7</formula>
    </cfRule>
    <cfRule type="expression" dxfId="166" priority="200" stopIfTrue="1">
      <formula>WEEKDAY($C10)=1</formula>
    </cfRule>
  </conditionalFormatting>
  <conditionalFormatting sqref="H10:I10">
    <cfRule type="expression" dxfId="165" priority="197" stopIfTrue="1">
      <formula>WEEKDAY($C10)=7</formula>
    </cfRule>
    <cfRule type="expression" dxfId="164" priority="198" stopIfTrue="1">
      <formula>WEEKDAY($C10)=1</formula>
    </cfRule>
  </conditionalFormatting>
  <conditionalFormatting sqref="L10">
    <cfRule type="expression" dxfId="163" priority="195" stopIfTrue="1">
      <formula>WEEKDAY($C10)=7</formula>
    </cfRule>
    <cfRule type="expression" dxfId="162" priority="196" stopIfTrue="1">
      <formula>WEEKDAY($C10)=1</formula>
    </cfRule>
  </conditionalFormatting>
  <conditionalFormatting sqref="J9:K9">
    <cfRule type="expression" dxfId="161" priority="193" stopIfTrue="1">
      <formula>WEEKDAY($C9)=7</formula>
    </cfRule>
    <cfRule type="expression" dxfId="160" priority="194" stopIfTrue="1">
      <formula>WEEKDAY($C9)=1</formula>
    </cfRule>
  </conditionalFormatting>
  <conditionalFormatting sqref="H9:I9">
    <cfRule type="expression" dxfId="159" priority="191" stopIfTrue="1">
      <formula>WEEKDAY($C9)=7</formula>
    </cfRule>
    <cfRule type="expression" dxfId="158" priority="192" stopIfTrue="1">
      <formula>WEEKDAY($C9)=1</formula>
    </cfRule>
  </conditionalFormatting>
  <conditionalFormatting sqref="L9">
    <cfRule type="expression" dxfId="157" priority="189" stopIfTrue="1">
      <formula>WEEKDAY($C9)=7</formula>
    </cfRule>
    <cfRule type="expression" dxfId="156" priority="190" stopIfTrue="1">
      <formula>WEEKDAY($C9)=1</formula>
    </cfRule>
  </conditionalFormatting>
  <conditionalFormatting sqref="H21:L22">
    <cfRule type="expression" dxfId="155" priority="187" stopIfTrue="1">
      <formula>WEEKDAY($C21)=7</formula>
    </cfRule>
    <cfRule type="expression" dxfId="154" priority="188" stopIfTrue="1">
      <formula>WEEKDAY($C21)=1</formula>
    </cfRule>
  </conditionalFormatting>
  <conditionalFormatting sqref="J18:K20">
    <cfRule type="expression" dxfId="153" priority="185" stopIfTrue="1">
      <formula>WEEKDAY($C18)=7</formula>
    </cfRule>
    <cfRule type="expression" dxfId="152" priority="186" stopIfTrue="1">
      <formula>WEEKDAY($C18)=1</formula>
    </cfRule>
  </conditionalFormatting>
  <conditionalFormatting sqref="H20:I20">
    <cfRule type="expression" dxfId="151" priority="183" stopIfTrue="1">
      <formula>WEEKDAY($C20)=7</formula>
    </cfRule>
    <cfRule type="expression" dxfId="150" priority="184" stopIfTrue="1">
      <formula>WEEKDAY($C20)=1</formula>
    </cfRule>
  </conditionalFormatting>
  <conditionalFormatting sqref="H19:I19">
    <cfRule type="expression" dxfId="149" priority="181" stopIfTrue="1">
      <formula>WEEKDAY($C19)=7</formula>
    </cfRule>
    <cfRule type="expression" dxfId="148" priority="182" stopIfTrue="1">
      <formula>WEEKDAY($C19)=1</formula>
    </cfRule>
  </conditionalFormatting>
  <conditionalFormatting sqref="H18:I18">
    <cfRule type="expression" dxfId="147" priority="179" stopIfTrue="1">
      <formula>WEEKDAY($C18)=7</formula>
    </cfRule>
    <cfRule type="expression" dxfId="146" priority="180" stopIfTrue="1">
      <formula>WEEKDAY($C18)=1</formula>
    </cfRule>
  </conditionalFormatting>
  <conditionalFormatting sqref="L18">
    <cfRule type="expression" dxfId="145" priority="177" stopIfTrue="1">
      <formula>WEEKDAY($C18)=7</formula>
    </cfRule>
    <cfRule type="expression" dxfId="144" priority="178" stopIfTrue="1">
      <formula>WEEKDAY($C18)=1</formula>
    </cfRule>
  </conditionalFormatting>
  <conditionalFormatting sqref="L20">
    <cfRule type="expression" dxfId="143" priority="173" stopIfTrue="1">
      <formula>WEEKDAY($C20)=7</formula>
    </cfRule>
    <cfRule type="expression" dxfId="142" priority="174" stopIfTrue="1">
      <formula>WEEKDAY($C20)=1</formula>
    </cfRule>
  </conditionalFormatting>
  <conditionalFormatting sqref="J17:K17">
    <cfRule type="expression" dxfId="141" priority="171" stopIfTrue="1">
      <formula>WEEKDAY($C17)=7</formula>
    </cfRule>
    <cfRule type="expression" dxfId="140" priority="172" stopIfTrue="1">
      <formula>WEEKDAY($C17)=1</formula>
    </cfRule>
  </conditionalFormatting>
  <conditionalFormatting sqref="H17:I17">
    <cfRule type="expression" dxfId="139" priority="169" stopIfTrue="1">
      <formula>WEEKDAY($C17)=7</formula>
    </cfRule>
    <cfRule type="expression" dxfId="138" priority="170" stopIfTrue="1">
      <formula>WEEKDAY($C17)=1</formula>
    </cfRule>
  </conditionalFormatting>
  <conditionalFormatting sqref="L17">
    <cfRule type="expression" dxfId="137" priority="167" stopIfTrue="1">
      <formula>WEEKDAY($C17)=7</formula>
    </cfRule>
    <cfRule type="expression" dxfId="136" priority="168" stopIfTrue="1">
      <formula>WEEKDAY($C17)=1</formula>
    </cfRule>
  </conditionalFormatting>
  <conditionalFormatting sqref="J16:K16">
    <cfRule type="expression" dxfId="135" priority="165" stopIfTrue="1">
      <formula>WEEKDAY($C16)=7</formula>
    </cfRule>
    <cfRule type="expression" dxfId="134" priority="166" stopIfTrue="1">
      <formula>WEEKDAY($C16)=1</formula>
    </cfRule>
  </conditionalFormatting>
  <conditionalFormatting sqref="H16:I16">
    <cfRule type="expression" dxfId="133" priority="163" stopIfTrue="1">
      <formula>WEEKDAY($C16)=7</formula>
    </cfRule>
    <cfRule type="expression" dxfId="132" priority="164" stopIfTrue="1">
      <formula>WEEKDAY($C16)=1</formula>
    </cfRule>
  </conditionalFormatting>
  <conditionalFormatting sqref="L16">
    <cfRule type="expression" dxfId="131" priority="161" stopIfTrue="1">
      <formula>WEEKDAY($C16)=7</formula>
    </cfRule>
    <cfRule type="expression" dxfId="130" priority="162" stopIfTrue="1">
      <formula>WEEKDAY($C16)=1</formula>
    </cfRule>
  </conditionalFormatting>
  <conditionalFormatting sqref="H29:L29 H28:K28">
    <cfRule type="expression" dxfId="129" priority="159" stopIfTrue="1">
      <formula>WEEKDAY($C28)=7</formula>
    </cfRule>
    <cfRule type="expression" dxfId="128" priority="160" stopIfTrue="1">
      <formula>WEEKDAY($C28)=1</formula>
    </cfRule>
  </conditionalFormatting>
  <conditionalFormatting sqref="J25:K27">
    <cfRule type="expression" dxfId="127" priority="157" stopIfTrue="1">
      <formula>WEEKDAY($C25)=7</formula>
    </cfRule>
    <cfRule type="expression" dxfId="126" priority="158" stopIfTrue="1">
      <formula>WEEKDAY($C25)=1</formula>
    </cfRule>
  </conditionalFormatting>
  <conditionalFormatting sqref="H27:I27">
    <cfRule type="expression" dxfId="125" priority="155" stopIfTrue="1">
      <formula>WEEKDAY($C27)=7</formula>
    </cfRule>
    <cfRule type="expression" dxfId="124" priority="156" stopIfTrue="1">
      <formula>WEEKDAY($C27)=1</formula>
    </cfRule>
  </conditionalFormatting>
  <conditionalFormatting sqref="H26:I26">
    <cfRule type="expression" dxfId="123" priority="153" stopIfTrue="1">
      <formula>WEEKDAY($C26)=7</formula>
    </cfRule>
    <cfRule type="expression" dxfId="122" priority="154" stopIfTrue="1">
      <formula>WEEKDAY($C26)=1</formula>
    </cfRule>
  </conditionalFormatting>
  <conditionalFormatting sqref="H25:I25">
    <cfRule type="expression" dxfId="121" priority="151" stopIfTrue="1">
      <formula>WEEKDAY($C25)=7</formula>
    </cfRule>
    <cfRule type="expression" dxfId="120" priority="152" stopIfTrue="1">
      <formula>WEEKDAY($C25)=1</formula>
    </cfRule>
  </conditionalFormatting>
  <conditionalFormatting sqref="L25">
    <cfRule type="expression" dxfId="119" priority="149" stopIfTrue="1">
      <formula>WEEKDAY($C25)=7</formula>
    </cfRule>
    <cfRule type="expression" dxfId="118" priority="150" stopIfTrue="1">
      <formula>WEEKDAY($C25)=1</formula>
    </cfRule>
  </conditionalFormatting>
  <conditionalFormatting sqref="L26">
    <cfRule type="expression" dxfId="117" priority="147" stopIfTrue="1">
      <formula>WEEKDAY($C26)=7</formula>
    </cfRule>
    <cfRule type="expression" dxfId="116" priority="148" stopIfTrue="1">
      <formula>WEEKDAY($C26)=1</formula>
    </cfRule>
  </conditionalFormatting>
  <conditionalFormatting sqref="J24:K24">
    <cfRule type="expression" dxfId="115" priority="143" stopIfTrue="1">
      <formula>WEEKDAY($C24)=7</formula>
    </cfRule>
    <cfRule type="expression" dxfId="114" priority="144" stopIfTrue="1">
      <formula>WEEKDAY($C24)=1</formula>
    </cfRule>
  </conditionalFormatting>
  <conditionalFormatting sqref="H24:I24">
    <cfRule type="expression" dxfId="113" priority="141" stopIfTrue="1">
      <formula>WEEKDAY($C24)=7</formula>
    </cfRule>
    <cfRule type="expression" dxfId="112" priority="142" stopIfTrue="1">
      <formula>WEEKDAY($C24)=1</formula>
    </cfRule>
  </conditionalFormatting>
  <conditionalFormatting sqref="L24">
    <cfRule type="expression" dxfId="111" priority="139" stopIfTrue="1">
      <formula>WEEKDAY($C24)=7</formula>
    </cfRule>
    <cfRule type="expression" dxfId="110" priority="140" stopIfTrue="1">
      <formula>WEEKDAY($C24)=1</formula>
    </cfRule>
  </conditionalFormatting>
  <conditionalFormatting sqref="J23:K23">
    <cfRule type="expression" dxfId="109" priority="137" stopIfTrue="1">
      <formula>WEEKDAY($C23)=7</formula>
    </cfRule>
    <cfRule type="expression" dxfId="108" priority="138" stopIfTrue="1">
      <formula>WEEKDAY($C23)=1</formula>
    </cfRule>
  </conditionalFormatting>
  <conditionalFormatting sqref="H23:I23">
    <cfRule type="expression" dxfId="107" priority="135" stopIfTrue="1">
      <formula>WEEKDAY($C23)=7</formula>
    </cfRule>
    <cfRule type="expression" dxfId="106" priority="136" stopIfTrue="1">
      <formula>WEEKDAY($C23)=1</formula>
    </cfRule>
  </conditionalFormatting>
  <conditionalFormatting sqref="L23">
    <cfRule type="expression" dxfId="105" priority="133" stopIfTrue="1">
      <formula>WEEKDAY($C23)=7</formula>
    </cfRule>
    <cfRule type="expression" dxfId="104" priority="134" stopIfTrue="1">
      <formula>WEEKDAY($C23)=1</formula>
    </cfRule>
  </conditionalFormatting>
  <conditionalFormatting sqref="H35:L36">
    <cfRule type="expression" dxfId="103" priority="131" stopIfTrue="1">
      <formula>WEEKDAY($C35)=7</formula>
    </cfRule>
    <cfRule type="expression" dxfId="102" priority="132" stopIfTrue="1">
      <formula>WEEKDAY($C35)=1</formula>
    </cfRule>
  </conditionalFormatting>
  <conditionalFormatting sqref="J32:K34">
    <cfRule type="expression" dxfId="101" priority="129" stopIfTrue="1">
      <formula>WEEKDAY($C32)=7</formula>
    </cfRule>
    <cfRule type="expression" dxfId="100" priority="130" stopIfTrue="1">
      <formula>WEEKDAY($C32)=1</formula>
    </cfRule>
  </conditionalFormatting>
  <conditionalFormatting sqref="L34">
    <cfRule type="expression" dxfId="99" priority="117" stopIfTrue="1">
      <formula>WEEKDAY($C34)=7</formula>
    </cfRule>
    <cfRule type="expression" dxfId="98" priority="118" stopIfTrue="1">
      <formula>WEEKDAY($C34)=1</formula>
    </cfRule>
  </conditionalFormatting>
  <conditionalFormatting sqref="J30:K30">
    <cfRule type="expression" dxfId="97" priority="115" stopIfTrue="1">
      <formula>WEEKDAY($C31)=7</formula>
    </cfRule>
    <cfRule type="expression" dxfId="96" priority="116" stopIfTrue="1">
      <formula>WEEKDAY($C31)=1</formula>
    </cfRule>
  </conditionalFormatting>
  <conditionalFormatting sqref="H37:I37">
    <cfRule type="expression" dxfId="95" priority="99" stopIfTrue="1">
      <formula>WEEKDAY($C37)=7</formula>
    </cfRule>
    <cfRule type="expression" dxfId="94" priority="100" stopIfTrue="1">
      <formula>WEEKDAY($C37)=1</formula>
    </cfRule>
  </conditionalFormatting>
  <conditionalFormatting sqref="J37:K38">
    <cfRule type="expression" dxfId="93" priority="103" stopIfTrue="1">
      <formula>WEEKDAY($C37)=7</formula>
    </cfRule>
    <cfRule type="expression" dxfId="92" priority="104" stopIfTrue="1">
      <formula>WEEKDAY($C37)=1</formula>
    </cfRule>
  </conditionalFormatting>
  <conditionalFormatting sqref="H38:I38">
    <cfRule type="expression" dxfId="91" priority="101" stopIfTrue="1">
      <formula>WEEKDAY($C38)=7</formula>
    </cfRule>
    <cfRule type="expression" dxfId="90" priority="102" stopIfTrue="1">
      <formula>WEEKDAY($C38)=1</formula>
    </cfRule>
  </conditionalFormatting>
  <conditionalFormatting sqref="L37">
    <cfRule type="expression" dxfId="89" priority="97" stopIfTrue="1">
      <formula>WEEKDAY($C37)=7</formula>
    </cfRule>
    <cfRule type="expression" dxfId="88" priority="98" stopIfTrue="1">
      <formula>WEEKDAY($C37)=1</formula>
    </cfRule>
  </conditionalFormatting>
  <conditionalFormatting sqref="L38">
    <cfRule type="expression" dxfId="87" priority="95" stopIfTrue="1">
      <formula>WEEKDAY($C38)=7</formula>
    </cfRule>
    <cfRule type="expression" dxfId="86" priority="96" stopIfTrue="1">
      <formula>WEEKDAY($C38)=1</formula>
    </cfRule>
  </conditionalFormatting>
  <conditionalFormatting sqref="E15">
    <cfRule type="expression" dxfId="85" priority="93" stopIfTrue="1">
      <formula>WEEKDAY($C15)=7</formula>
    </cfRule>
    <cfRule type="expression" dxfId="84" priority="94" stopIfTrue="1">
      <formula>WEEKDAY($C15)=1</formula>
    </cfRule>
  </conditionalFormatting>
  <conditionalFormatting sqref="E11:E14">
    <cfRule type="expression" dxfId="83" priority="91" stopIfTrue="1">
      <formula>WEEKDAY($C11)=7</formula>
    </cfRule>
    <cfRule type="expression" dxfId="82" priority="92" stopIfTrue="1">
      <formula>WEEKDAY($C11)=1</formula>
    </cfRule>
  </conditionalFormatting>
  <conditionalFormatting sqref="E17:E21">
    <cfRule type="expression" dxfId="81" priority="89" stopIfTrue="1">
      <formula>WEEKDAY($C17)=7</formula>
    </cfRule>
    <cfRule type="expression" dxfId="80" priority="90" stopIfTrue="1">
      <formula>WEEKDAY($C17)=1</formula>
    </cfRule>
  </conditionalFormatting>
  <conditionalFormatting sqref="E24:E28">
    <cfRule type="expression" dxfId="79" priority="87" stopIfTrue="1">
      <formula>WEEKDAY($C24)=7</formula>
    </cfRule>
    <cfRule type="expression" dxfId="78" priority="88" stopIfTrue="1">
      <formula>WEEKDAY($C24)=1</formula>
    </cfRule>
  </conditionalFormatting>
  <conditionalFormatting sqref="E33:E34">
    <cfRule type="expression" dxfId="77" priority="85" stopIfTrue="1">
      <formula>WEEKDAY($C33)=7</formula>
    </cfRule>
    <cfRule type="expression" dxfId="76" priority="86" stopIfTrue="1">
      <formula>WEEKDAY($C33)=1</formula>
    </cfRule>
  </conditionalFormatting>
  <conditionalFormatting sqref="E15:E18">
    <cfRule type="expression" dxfId="75" priority="83" stopIfTrue="1">
      <formula>WEEKDAY($C15)=7</formula>
    </cfRule>
    <cfRule type="expression" dxfId="74" priority="84" stopIfTrue="1">
      <formula>WEEKDAY($C15)=1</formula>
    </cfRule>
  </conditionalFormatting>
  <conditionalFormatting sqref="E21:E25">
    <cfRule type="expression" dxfId="73" priority="81" stopIfTrue="1">
      <formula>WEEKDAY($C21)=7</formula>
    </cfRule>
    <cfRule type="expression" dxfId="72" priority="82" stopIfTrue="1">
      <formula>WEEKDAY($C21)=1</formula>
    </cfRule>
  </conditionalFormatting>
  <conditionalFormatting sqref="E28:E32">
    <cfRule type="expression" dxfId="71" priority="79" stopIfTrue="1">
      <formula>WEEKDAY($C28)=7</formula>
    </cfRule>
    <cfRule type="expression" dxfId="70" priority="80" stopIfTrue="1">
      <formula>WEEKDAY($C28)=1</formula>
    </cfRule>
  </conditionalFormatting>
  <conditionalFormatting sqref="E35:E38">
    <cfRule type="expression" dxfId="69" priority="77" stopIfTrue="1">
      <formula>WEEKDAY($C35)=7</formula>
    </cfRule>
    <cfRule type="expression" dxfId="68" priority="78" stopIfTrue="1">
      <formula>WEEKDAY($C35)=1</formula>
    </cfRule>
  </conditionalFormatting>
  <conditionalFormatting sqref="E19:E22">
    <cfRule type="expression" dxfId="67" priority="75" stopIfTrue="1">
      <formula>WEEKDAY($C19)=7</formula>
    </cfRule>
    <cfRule type="expression" dxfId="66" priority="76" stopIfTrue="1">
      <formula>WEEKDAY($C19)=1</formula>
    </cfRule>
  </conditionalFormatting>
  <conditionalFormatting sqref="E19:E22">
    <cfRule type="expression" dxfId="65" priority="73" stopIfTrue="1">
      <formula>WEEKDAY($C19)=7</formula>
    </cfRule>
    <cfRule type="expression" dxfId="64" priority="74" stopIfTrue="1">
      <formula>WEEKDAY($C19)=1</formula>
    </cfRule>
  </conditionalFormatting>
  <conditionalFormatting sqref="E25:E29">
    <cfRule type="expression" dxfId="63" priority="71" stopIfTrue="1">
      <formula>WEEKDAY($C25)=7</formula>
    </cfRule>
    <cfRule type="expression" dxfId="62" priority="72" stopIfTrue="1">
      <formula>WEEKDAY($C25)=1</formula>
    </cfRule>
  </conditionalFormatting>
  <conditionalFormatting sqref="E25:E29">
    <cfRule type="expression" dxfId="61" priority="69" stopIfTrue="1">
      <formula>WEEKDAY($C25)=7</formula>
    </cfRule>
    <cfRule type="expression" dxfId="60" priority="70" stopIfTrue="1">
      <formula>WEEKDAY($C25)=1</formula>
    </cfRule>
  </conditionalFormatting>
  <conditionalFormatting sqref="E32:E35">
    <cfRule type="expression" dxfId="59" priority="67" stopIfTrue="1">
      <formula>WEEKDAY($C32)=7</formula>
    </cfRule>
    <cfRule type="expression" dxfId="58" priority="68" stopIfTrue="1">
      <formula>WEEKDAY($C32)=1</formula>
    </cfRule>
  </conditionalFormatting>
  <conditionalFormatting sqref="E32:E35">
    <cfRule type="expression" dxfId="57" priority="65" stopIfTrue="1">
      <formula>WEEKDAY($C32)=7</formula>
    </cfRule>
    <cfRule type="expression" dxfId="56" priority="66" stopIfTrue="1">
      <formula>WEEKDAY($C32)=1</formula>
    </cfRule>
  </conditionalFormatting>
  <conditionalFormatting sqref="L27">
    <cfRule type="expression" dxfId="55" priority="61" stopIfTrue="1">
      <formula>WEEKDAY($C27)=7</formula>
    </cfRule>
    <cfRule type="expression" dxfId="54" priority="62" stopIfTrue="1">
      <formula>WEEKDAY($C27)=1</formula>
    </cfRule>
  </conditionalFormatting>
  <conditionalFormatting sqref="L28">
    <cfRule type="expression" dxfId="53" priority="59" stopIfTrue="1">
      <formula>WEEKDAY($C28)=7</formula>
    </cfRule>
    <cfRule type="expression" dxfId="52" priority="60" stopIfTrue="1">
      <formula>WEEKDAY($C28)=1</formula>
    </cfRule>
  </conditionalFormatting>
  <conditionalFormatting sqref="L19">
    <cfRule type="expression" dxfId="51" priority="55" stopIfTrue="1">
      <formula>WEEKDAY($C19)=7</formula>
    </cfRule>
    <cfRule type="expression" dxfId="50" priority="56" stopIfTrue="1">
      <formula>WEEKDAY($C19)=1</formula>
    </cfRule>
  </conditionalFormatting>
  <conditionalFormatting sqref="L14">
    <cfRule type="expression" dxfId="49" priority="53" stopIfTrue="1">
      <formula>WEEKDAY($C14)=7</formula>
    </cfRule>
    <cfRule type="expression" dxfId="48" priority="54" stopIfTrue="1">
      <formula>WEEKDAY($C14)=1</formula>
    </cfRule>
  </conditionalFormatting>
  <conditionalFormatting sqref="L12">
    <cfRule type="expression" dxfId="47" priority="49" stopIfTrue="1">
      <formula>WEEKDAY($C12)=7</formula>
    </cfRule>
    <cfRule type="expression" dxfId="46" priority="50" stopIfTrue="1">
      <formula>WEEKDAY($C12)=1</formula>
    </cfRule>
  </conditionalFormatting>
  <conditionalFormatting sqref="H30">
    <cfRule type="expression" dxfId="45" priority="47" stopIfTrue="1">
      <formula>WEEKDAY($C31)=7</formula>
    </cfRule>
    <cfRule type="expression" dxfId="44" priority="48" stopIfTrue="1">
      <formula>WEEKDAY($C31)=1</formula>
    </cfRule>
  </conditionalFormatting>
  <conditionalFormatting sqref="L30">
    <cfRule type="expression" dxfId="43" priority="45" stopIfTrue="1">
      <formula>WEEKDAY($C31)=7</formula>
    </cfRule>
    <cfRule type="expression" dxfId="42" priority="46" stopIfTrue="1">
      <formula>WEEKDAY($C31)=1</formula>
    </cfRule>
  </conditionalFormatting>
  <conditionalFormatting sqref="L32">
    <cfRule type="expression" dxfId="41" priority="35" stopIfTrue="1">
      <formula>WEEKDAY($C32)=7</formula>
    </cfRule>
    <cfRule type="expression" dxfId="40" priority="36" stopIfTrue="1">
      <formula>WEEKDAY($C32)=1</formula>
    </cfRule>
  </conditionalFormatting>
  <conditionalFormatting sqref="M30">
    <cfRule type="expression" dxfId="39" priority="41" stopIfTrue="1">
      <formula>WEEKDAY($C31)=7</formula>
    </cfRule>
    <cfRule type="expression" dxfId="38" priority="42" stopIfTrue="1">
      <formula>WEEKDAY($C31)=1</formula>
    </cfRule>
  </conditionalFormatting>
  <conditionalFormatting sqref="H32">
    <cfRule type="expression" dxfId="37" priority="37" stopIfTrue="1">
      <formula>WEEKDAY($C32)=7</formula>
    </cfRule>
    <cfRule type="expression" dxfId="36" priority="38" stopIfTrue="1">
      <formula>WEEKDAY($C32)=1</formula>
    </cfRule>
  </conditionalFormatting>
  <conditionalFormatting sqref="H31">
    <cfRule type="expression" dxfId="35" priority="33" stopIfTrue="1">
      <formula>WEEKDAY($C32)=7</formula>
    </cfRule>
    <cfRule type="expression" dxfId="34" priority="34" stopIfTrue="1">
      <formula>WEEKDAY($C32)=1</formula>
    </cfRule>
  </conditionalFormatting>
  <conditionalFormatting sqref="L31">
    <cfRule type="expression" dxfId="33" priority="31" stopIfTrue="1">
      <formula>WEEKDAY($C32)=7</formula>
    </cfRule>
    <cfRule type="expression" dxfId="32" priority="32" stopIfTrue="1">
      <formula>WEEKDAY($C32)=1</formula>
    </cfRule>
  </conditionalFormatting>
  <conditionalFormatting sqref="J31:K31">
    <cfRule type="expression" dxfId="31" priority="29" stopIfTrue="1">
      <formula>WEEKDAY($C32)=7</formula>
    </cfRule>
    <cfRule type="expression" dxfId="30" priority="30" stopIfTrue="1">
      <formula>WEEKDAY($C32)=1</formula>
    </cfRule>
  </conditionalFormatting>
  <conditionalFormatting sqref="M31">
    <cfRule type="expression" dxfId="29" priority="27" stopIfTrue="1">
      <formula>WEEKDAY($C31)=7</formula>
    </cfRule>
    <cfRule type="expression" dxfId="28" priority="28" stopIfTrue="1">
      <formula>WEEKDAY($C31)=1</formula>
    </cfRule>
  </conditionalFormatting>
  <conditionalFormatting sqref="H33">
    <cfRule type="expression" dxfId="27" priority="25" stopIfTrue="1">
      <formula>WEEKDAY($C33)=7</formula>
    </cfRule>
    <cfRule type="expression" dxfId="26" priority="26" stopIfTrue="1">
      <formula>WEEKDAY($C33)=1</formula>
    </cfRule>
  </conditionalFormatting>
  <conditionalFormatting sqref="L33">
    <cfRule type="expression" dxfId="25" priority="23" stopIfTrue="1">
      <formula>WEEKDAY($C34)=7</formula>
    </cfRule>
    <cfRule type="expression" dxfId="24" priority="24" stopIfTrue="1">
      <formula>WEEKDAY($C34)=1</formula>
    </cfRule>
  </conditionalFormatting>
  <conditionalFormatting sqref="M33">
    <cfRule type="expression" dxfId="23" priority="21" stopIfTrue="1">
      <formula>WEEKDAY($C33)=7</formula>
    </cfRule>
    <cfRule type="expression" dxfId="22" priority="22" stopIfTrue="1">
      <formula>WEEKDAY($C33)=1</formula>
    </cfRule>
  </conditionalFormatting>
  <conditionalFormatting sqref="M33">
    <cfRule type="expression" dxfId="21" priority="19" stopIfTrue="1">
      <formula>WEEKDAY($C33)=7</formula>
    </cfRule>
    <cfRule type="expression" dxfId="20" priority="20" stopIfTrue="1">
      <formula>WEEKDAY($C33)=1</formula>
    </cfRule>
  </conditionalFormatting>
  <conditionalFormatting sqref="H34">
    <cfRule type="expression" dxfId="19" priority="17" stopIfTrue="1">
      <formula>WEEKDAY($C34)=7</formula>
    </cfRule>
    <cfRule type="expression" dxfId="18" priority="18" stopIfTrue="1">
      <formula>WEEKDAY($C34)=1</formula>
    </cfRule>
  </conditionalFormatting>
  <conditionalFormatting sqref="H13">
    <cfRule type="expression" dxfId="17" priority="15" stopIfTrue="1">
      <formula>WEEKDAY($C13)=7</formula>
    </cfRule>
    <cfRule type="expression" dxfId="16" priority="16" stopIfTrue="1">
      <formula>WEEKDAY($C13)=1</formula>
    </cfRule>
  </conditionalFormatting>
  <conditionalFormatting sqref="H13">
    <cfRule type="expression" dxfId="15" priority="13" stopIfTrue="1">
      <formula>WEEKDAY($C13)=7</formula>
    </cfRule>
    <cfRule type="expression" dxfId="14" priority="14" stopIfTrue="1">
      <formula>WEEKDAY($C13)=1</formula>
    </cfRule>
  </conditionalFormatting>
  <conditionalFormatting sqref="H13">
    <cfRule type="expression" dxfId="13" priority="11" stopIfTrue="1">
      <formula>WEEKDAY($C13)=7</formula>
    </cfRule>
    <cfRule type="expression" dxfId="12" priority="12" stopIfTrue="1">
      <formula>WEEKDAY($C13)=1</formula>
    </cfRule>
  </conditionalFormatting>
  <conditionalFormatting sqref="H13">
    <cfRule type="expression" dxfId="11" priority="9" stopIfTrue="1">
      <formula>WEEKDAY($C13)=7</formula>
    </cfRule>
    <cfRule type="expression" dxfId="10" priority="10" stopIfTrue="1">
      <formula>WEEKDAY($C13)=1</formula>
    </cfRule>
  </conditionalFormatting>
  <conditionalFormatting sqref="H13">
    <cfRule type="expression" dxfId="9" priority="7" stopIfTrue="1">
      <formula>WEEKDAY($C13)=7</formula>
    </cfRule>
    <cfRule type="expression" dxfId="8" priority="8" stopIfTrue="1">
      <formula>WEEKDAY($C13)=1</formula>
    </cfRule>
  </conditionalFormatting>
  <conditionalFormatting sqref="H13">
    <cfRule type="expression" dxfId="7" priority="5" stopIfTrue="1">
      <formula>WEEKDAY($C13)=7</formula>
    </cfRule>
    <cfRule type="expression" dxfId="6" priority="6" stopIfTrue="1">
      <formula>WEEKDAY($C13)=1</formula>
    </cfRule>
  </conditionalFormatting>
  <conditionalFormatting sqref="L13">
    <cfRule type="expression" dxfId="5" priority="3" stopIfTrue="1">
      <formula>WEEKDAY($C13)=7</formula>
    </cfRule>
    <cfRule type="expression" dxfId="4" priority="4" stopIfTrue="1">
      <formula>WEEKDAY($C13)=1</formula>
    </cfRule>
  </conditionalFormatting>
  <conditionalFormatting sqref="M13">
    <cfRule type="expression" dxfId="3" priority="1" stopIfTrue="1">
      <formula>WEEKDAY($C13)=7</formula>
    </cfRule>
    <cfRule type="expression" dxfId="2" priority="2" stopIfTrue="1">
      <formula>WEEKDAY($C13)=1</formula>
    </cfRule>
  </conditionalFormatting>
  <dataValidations count="3">
    <dataValidation type="list" allowBlank="1" showInputMessage="1" showErrorMessage="1" sqref="E8:E38" xr:uid="{00000000-0002-0000-0100-000000000000}">
      <formula1>$T$2:$V$2</formula1>
    </dataValidation>
    <dataValidation type="list" allowBlank="1" sqref="M3:N4" xr:uid="{00000000-0002-0000-0100-000001000000}">
      <formula1>$AE$8:$AE$11</formula1>
    </dataValidation>
    <dataValidation type="list" showInputMessage="1" showErrorMessage="1" sqref="D8:D38" xr:uid="{00000000-0002-0000-0100-000002000000}">
      <formula1>$AC$8:$AC$27</formula1>
    </dataValidation>
  </dataValidations>
  <pageMargins left="0.6692913385826772" right="0.39370078740157483" top="0.86614173228346458" bottom="0.39370078740157483" header="0.55118110236220474" footer="0"/>
  <pageSetup paperSize="9" orientation="portrait" horizontalDpi="300" verticalDpi="300" r:id="rId1"/>
  <headerFooter alignWithMargins="0">
    <oddHeader>&amp;C&amp;"ＭＳ Ｐ明朝,太字"&amp;16&amp;E個人別勤務報告書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0" r:id="rId4" name="Button 76">
              <controlPr defaultSize="0" print="0" autoFill="0" autoPict="0" macro="[0]!Sheet2.Auto_Calculation">
                <anchor moveWithCells="1">
                  <from>
                    <xdr:col>23</xdr:col>
                    <xdr:colOff>228600</xdr:colOff>
                    <xdr:row>2</xdr:row>
                    <xdr:rowOff>28575</xdr:rowOff>
                  </from>
                  <to>
                    <xdr:col>23</xdr:col>
                    <xdr:colOff>1266825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F75"/>
  <sheetViews>
    <sheetView view="pageBreakPreview" zoomScale="130" zoomScaleNormal="100" zoomScaleSheetLayoutView="130" workbookViewId="0">
      <selection activeCell="C5" sqref="C5"/>
    </sheetView>
  </sheetViews>
  <sheetFormatPr defaultColWidth="9" defaultRowHeight="11.25"/>
  <cols>
    <col min="1" max="1" width="1.5" style="68" customWidth="1"/>
    <col min="2" max="2" width="3.625" style="68" customWidth="1"/>
    <col min="3" max="3" width="61.875" style="68" customWidth="1"/>
    <col min="4" max="4" width="9.75" style="68" customWidth="1"/>
    <col min="5" max="6" width="9" style="68"/>
    <col min="7" max="7" width="1.75" style="68" customWidth="1"/>
    <col min="8" max="16384" width="9" style="68"/>
  </cols>
  <sheetData>
    <row r="2" spans="2:6">
      <c r="B2" s="68" t="s">
        <v>91</v>
      </c>
    </row>
    <row r="3" spans="2:6">
      <c r="B3" s="73" t="s">
        <v>90</v>
      </c>
      <c r="C3" s="72" t="s">
        <v>89</v>
      </c>
      <c r="D3" s="72" t="s">
        <v>88</v>
      </c>
      <c r="E3" s="72" t="s">
        <v>87</v>
      </c>
      <c r="F3" s="72" t="s">
        <v>86</v>
      </c>
    </row>
    <row r="4" spans="2:6">
      <c r="B4" s="71" t="s">
        <v>85</v>
      </c>
      <c r="C4" s="69" t="s">
        <v>84</v>
      </c>
      <c r="D4" s="69" t="s">
        <v>83</v>
      </c>
      <c r="E4" s="70">
        <v>42298</v>
      </c>
      <c r="F4" s="69" t="s">
        <v>92</v>
      </c>
    </row>
    <row r="5" spans="2:6">
      <c r="B5" s="71" t="s">
        <v>93</v>
      </c>
      <c r="C5" s="69" t="s">
        <v>118</v>
      </c>
      <c r="D5" s="69" t="s">
        <v>83</v>
      </c>
      <c r="E5" s="70">
        <v>42298</v>
      </c>
      <c r="F5" s="69" t="s">
        <v>92</v>
      </c>
    </row>
    <row r="6" spans="2:6">
      <c r="B6" s="71" t="s">
        <v>94</v>
      </c>
      <c r="C6" s="69" t="s">
        <v>95</v>
      </c>
      <c r="D6" s="69" t="s">
        <v>83</v>
      </c>
      <c r="E6" s="70">
        <v>42298</v>
      </c>
      <c r="F6" s="69" t="s">
        <v>92</v>
      </c>
    </row>
    <row r="7" spans="2:6">
      <c r="B7" s="71" t="s">
        <v>96</v>
      </c>
      <c r="C7" s="69" t="s">
        <v>97</v>
      </c>
      <c r="D7" s="69" t="s">
        <v>98</v>
      </c>
      <c r="E7" s="70">
        <v>42305</v>
      </c>
      <c r="F7" s="69" t="s">
        <v>99</v>
      </c>
    </row>
    <row r="8" spans="2:6">
      <c r="B8" s="71" t="s">
        <v>100</v>
      </c>
      <c r="C8" s="69" t="s">
        <v>101</v>
      </c>
      <c r="D8" s="69" t="s">
        <v>98</v>
      </c>
      <c r="E8" s="70">
        <v>42305</v>
      </c>
      <c r="F8" s="69" t="s">
        <v>99</v>
      </c>
    </row>
    <row r="9" spans="2:6" ht="67.5">
      <c r="B9" s="71" t="s">
        <v>105</v>
      </c>
      <c r="C9" s="74" t="s">
        <v>109</v>
      </c>
      <c r="D9" s="69" t="s">
        <v>98</v>
      </c>
      <c r="E9" s="70">
        <v>42305</v>
      </c>
      <c r="F9" s="69" t="s">
        <v>107</v>
      </c>
    </row>
    <row r="10" spans="2:6">
      <c r="B10" s="71" t="s">
        <v>106</v>
      </c>
      <c r="C10" s="69" t="s">
        <v>104</v>
      </c>
      <c r="D10" s="69" t="s">
        <v>98</v>
      </c>
      <c r="E10" s="70">
        <v>42305</v>
      </c>
      <c r="F10" s="69" t="s">
        <v>108</v>
      </c>
    </row>
    <row r="11" spans="2:6">
      <c r="B11" s="71"/>
      <c r="C11" s="69"/>
      <c r="D11" s="69"/>
      <c r="E11" s="70"/>
      <c r="F11" s="69"/>
    </row>
    <row r="12" spans="2:6">
      <c r="B12" s="71"/>
      <c r="C12" s="69"/>
      <c r="D12" s="69"/>
      <c r="E12" s="70"/>
      <c r="F12" s="69"/>
    </row>
    <row r="13" spans="2:6">
      <c r="B13" s="71"/>
      <c r="C13" s="69"/>
      <c r="D13" s="69"/>
      <c r="E13" s="70"/>
      <c r="F13" s="69"/>
    </row>
    <row r="14" spans="2:6">
      <c r="B14" s="71"/>
      <c r="C14" s="69"/>
      <c r="D14" s="69"/>
      <c r="E14" s="70"/>
      <c r="F14" s="69"/>
    </row>
    <row r="15" spans="2:6">
      <c r="B15" s="71"/>
      <c r="C15" s="69"/>
      <c r="D15" s="69"/>
      <c r="E15" s="70"/>
      <c r="F15" s="69"/>
    </row>
    <row r="16" spans="2:6">
      <c r="B16" s="71"/>
      <c r="C16" s="69"/>
      <c r="D16" s="69"/>
      <c r="E16" s="70"/>
      <c r="F16" s="69"/>
    </row>
    <row r="17" spans="2:6">
      <c r="B17" s="71"/>
      <c r="C17" s="69"/>
      <c r="D17" s="69"/>
      <c r="E17" s="70"/>
      <c r="F17" s="69"/>
    </row>
    <row r="18" spans="2:6">
      <c r="B18" s="71"/>
      <c r="C18" s="69"/>
      <c r="D18" s="69"/>
      <c r="E18" s="70"/>
      <c r="F18" s="69"/>
    </row>
    <row r="19" spans="2:6">
      <c r="B19" s="71"/>
      <c r="C19" s="69"/>
      <c r="D19" s="69"/>
      <c r="E19" s="70"/>
      <c r="F19" s="69"/>
    </row>
    <row r="20" spans="2:6">
      <c r="B20" s="71"/>
      <c r="C20" s="69"/>
      <c r="D20" s="69"/>
      <c r="E20" s="70"/>
      <c r="F20" s="69"/>
    </row>
    <row r="21" spans="2:6">
      <c r="B21" s="71"/>
      <c r="C21" s="69"/>
      <c r="D21" s="69"/>
      <c r="E21" s="70"/>
      <c r="F21" s="69"/>
    </row>
    <row r="22" spans="2:6">
      <c r="B22" s="71"/>
      <c r="C22" s="69"/>
      <c r="D22" s="69"/>
      <c r="E22" s="70"/>
      <c r="F22" s="69"/>
    </row>
    <row r="23" spans="2:6">
      <c r="B23" s="71"/>
      <c r="C23" s="69"/>
      <c r="D23" s="69"/>
      <c r="E23" s="70"/>
      <c r="F23" s="69"/>
    </row>
    <row r="24" spans="2:6">
      <c r="B24" s="71"/>
      <c r="C24" s="69"/>
      <c r="D24" s="69"/>
      <c r="E24" s="70"/>
      <c r="F24" s="69"/>
    </row>
    <row r="25" spans="2:6">
      <c r="B25" s="71"/>
      <c r="C25" s="69"/>
      <c r="D25" s="69"/>
      <c r="E25" s="70"/>
      <c r="F25" s="69"/>
    </row>
    <row r="26" spans="2:6">
      <c r="B26" s="71"/>
      <c r="C26" s="69"/>
      <c r="D26" s="69"/>
      <c r="E26" s="70"/>
      <c r="F26" s="69"/>
    </row>
    <row r="27" spans="2:6">
      <c r="B27" s="71"/>
      <c r="C27" s="69"/>
      <c r="D27" s="69"/>
      <c r="E27" s="70"/>
      <c r="F27" s="69"/>
    </row>
    <row r="28" spans="2:6">
      <c r="B28" s="71"/>
      <c r="C28" s="69"/>
      <c r="D28" s="69"/>
      <c r="E28" s="70"/>
      <c r="F28" s="69"/>
    </row>
    <row r="29" spans="2:6">
      <c r="B29" s="71"/>
      <c r="C29" s="69"/>
      <c r="D29" s="69"/>
      <c r="E29" s="70"/>
      <c r="F29" s="69"/>
    </row>
    <row r="30" spans="2:6">
      <c r="B30" s="71"/>
      <c r="C30" s="69"/>
      <c r="D30" s="69"/>
      <c r="E30" s="70"/>
      <c r="F30" s="69"/>
    </row>
    <row r="31" spans="2:6">
      <c r="B31" s="71"/>
      <c r="C31" s="69"/>
      <c r="D31" s="69"/>
      <c r="E31" s="70"/>
      <c r="F31" s="69"/>
    </row>
    <row r="32" spans="2:6">
      <c r="B32" s="71"/>
      <c r="C32" s="69"/>
      <c r="D32" s="69"/>
      <c r="E32" s="70"/>
      <c r="F32" s="69"/>
    </row>
    <row r="33" spans="2:6">
      <c r="B33" s="71"/>
      <c r="C33" s="69"/>
      <c r="D33" s="69"/>
      <c r="E33" s="70"/>
      <c r="F33" s="69"/>
    </row>
    <row r="34" spans="2:6">
      <c r="B34" s="71"/>
      <c r="C34" s="69"/>
      <c r="D34" s="69"/>
      <c r="E34" s="70"/>
      <c r="F34" s="69"/>
    </row>
    <row r="35" spans="2:6">
      <c r="B35" s="71"/>
      <c r="C35" s="69"/>
      <c r="D35" s="69"/>
      <c r="E35" s="70"/>
      <c r="F35" s="69"/>
    </row>
    <row r="36" spans="2:6">
      <c r="B36" s="71"/>
      <c r="C36" s="69"/>
      <c r="D36" s="69"/>
      <c r="E36" s="70"/>
      <c r="F36" s="69"/>
    </row>
    <row r="37" spans="2:6">
      <c r="B37" s="71"/>
      <c r="C37" s="69"/>
      <c r="D37" s="69"/>
      <c r="E37" s="70"/>
      <c r="F37" s="69"/>
    </row>
    <row r="38" spans="2:6">
      <c r="B38" s="71"/>
      <c r="C38" s="69"/>
      <c r="D38" s="69"/>
      <c r="E38" s="70"/>
      <c r="F38" s="69"/>
    </row>
    <row r="39" spans="2:6">
      <c r="B39" s="71"/>
      <c r="C39" s="69"/>
      <c r="D39" s="69"/>
      <c r="E39" s="70"/>
      <c r="F39" s="69"/>
    </row>
    <row r="40" spans="2:6">
      <c r="B40" s="71"/>
      <c r="C40" s="69"/>
      <c r="D40" s="69"/>
      <c r="E40" s="70"/>
      <c r="F40" s="69"/>
    </row>
    <row r="41" spans="2:6">
      <c r="B41" s="71"/>
      <c r="C41" s="69"/>
      <c r="D41" s="69"/>
      <c r="E41" s="70"/>
      <c r="F41" s="69"/>
    </row>
    <row r="42" spans="2:6">
      <c r="B42" s="71"/>
      <c r="C42" s="69"/>
      <c r="D42" s="69"/>
      <c r="E42" s="70"/>
      <c r="F42" s="69"/>
    </row>
    <row r="43" spans="2:6">
      <c r="B43" s="71"/>
      <c r="C43" s="69"/>
      <c r="D43" s="69"/>
      <c r="E43" s="70"/>
      <c r="F43" s="69"/>
    </row>
    <row r="44" spans="2:6">
      <c r="B44" s="71"/>
      <c r="C44" s="69"/>
      <c r="D44" s="69"/>
      <c r="E44" s="70"/>
      <c r="F44" s="69"/>
    </row>
    <row r="45" spans="2:6">
      <c r="B45" s="71"/>
      <c r="C45" s="69"/>
      <c r="D45" s="69"/>
      <c r="E45" s="70"/>
      <c r="F45" s="69"/>
    </row>
    <row r="46" spans="2:6">
      <c r="B46" s="71"/>
      <c r="C46" s="69"/>
      <c r="D46" s="69"/>
      <c r="E46" s="70"/>
      <c r="F46" s="69"/>
    </row>
    <row r="47" spans="2:6">
      <c r="B47" s="71"/>
      <c r="C47" s="69"/>
      <c r="D47" s="69"/>
      <c r="E47" s="70"/>
      <c r="F47" s="69"/>
    </row>
    <row r="48" spans="2:6">
      <c r="B48" s="71"/>
      <c r="C48" s="69"/>
      <c r="D48" s="69"/>
      <c r="E48" s="70"/>
      <c r="F48" s="69"/>
    </row>
    <row r="49" spans="2:6">
      <c r="B49" s="71"/>
      <c r="C49" s="69"/>
      <c r="D49" s="69"/>
      <c r="E49" s="70"/>
      <c r="F49" s="69"/>
    </row>
    <row r="50" spans="2:6">
      <c r="B50" s="71"/>
      <c r="C50" s="69"/>
      <c r="D50" s="69"/>
      <c r="E50" s="70"/>
      <c r="F50" s="69"/>
    </row>
    <row r="51" spans="2:6">
      <c r="B51" s="71"/>
      <c r="C51" s="69"/>
      <c r="D51" s="69"/>
      <c r="E51" s="70"/>
      <c r="F51" s="69"/>
    </row>
    <row r="52" spans="2:6">
      <c r="B52" s="71"/>
      <c r="C52" s="69"/>
      <c r="D52" s="69"/>
      <c r="E52" s="70"/>
      <c r="F52" s="69"/>
    </row>
    <row r="53" spans="2:6">
      <c r="B53" s="71"/>
      <c r="C53" s="69"/>
      <c r="D53" s="69"/>
      <c r="E53" s="70"/>
      <c r="F53" s="69"/>
    </row>
    <row r="54" spans="2:6">
      <c r="B54" s="71"/>
      <c r="C54" s="69"/>
      <c r="D54" s="69"/>
      <c r="E54" s="70"/>
      <c r="F54" s="69"/>
    </row>
    <row r="55" spans="2:6">
      <c r="B55" s="71"/>
      <c r="C55" s="69"/>
      <c r="D55" s="69"/>
      <c r="E55" s="70"/>
      <c r="F55" s="69"/>
    </row>
    <row r="56" spans="2:6">
      <c r="B56" s="71"/>
      <c r="C56" s="69"/>
      <c r="D56" s="69"/>
      <c r="E56" s="70"/>
      <c r="F56" s="69"/>
    </row>
    <row r="57" spans="2:6">
      <c r="B57" s="71"/>
      <c r="C57" s="69"/>
      <c r="D57" s="69"/>
      <c r="E57" s="70"/>
      <c r="F57" s="69"/>
    </row>
    <row r="58" spans="2:6">
      <c r="B58" s="71"/>
      <c r="C58" s="69"/>
      <c r="D58" s="69"/>
      <c r="E58" s="70"/>
      <c r="F58" s="69"/>
    </row>
    <row r="59" spans="2:6">
      <c r="B59" s="71"/>
      <c r="C59" s="69"/>
      <c r="D59" s="69"/>
      <c r="E59" s="70"/>
      <c r="F59" s="69"/>
    </row>
    <row r="60" spans="2:6">
      <c r="B60" s="71"/>
      <c r="C60" s="69"/>
      <c r="D60" s="69"/>
      <c r="E60" s="70"/>
      <c r="F60" s="69"/>
    </row>
    <row r="61" spans="2:6">
      <c r="B61" s="71"/>
      <c r="C61" s="69"/>
      <c r="D61" s="69"/>
      <c r="E61" s="70"/>
      <c r="F61" s="69"/>
    </row>
    <row r="62" spans="2:6">
      <c r="B62" s="71"/>
      <c r="C62" s="69"/>
      <c r="D62" s="69"/>
      <c r="E62" s="70"/>
      <c r="F62" s="69"/>
    </row>
    <row r="63" spans="2:6">
      <c r="B63" s="71"/>
      <c r="C63" s="69"/>
      <c r="D63" s="69"/>
      <c r="E63" s="70"/>
      <c r="F63" s="69"/>
    </row>
    <row r="64" spans="2:6">
      <c r="B64" s="71"/>
      <c r="C64" s="69"/>
      <c r="D64" s="69"/>
      <c r="E64" s="70"/>
      <c r="F64" s="69"/>
    </row>
    <row r="65" spans="2:6">
      <c r="B65" s="71"/>
      <c r="C65" s="69"/>
      <c r="D65" s="69"/>
      <c r="E65" s="70"/>
      <c r="F65" s="69"/>
    </row>
    <row r="66" spans="2:6">
      <c r="B66" s="71"/>
      <c r="C66" s="69"/>
      <c r="D66" s="69"/>
      <c r="E66" s="70"/>
      <c r="F66" s="69"/>
    </row>
    <row r="67" spans="2:6">
      <c r="B67" s="71"/>
      <c r="C67" s="69"/>
      <c r="D67" s="69"/>
      <c r="E67" s="70"/>
      <c r="F67" s="69"/>
    </row>
    <row r="68" spans="2:6">
      <c r="B68" s="71"/>
      <c r="C68" s="69"/>
      <c r="D68" s="69"/>
      <c r="E68" s="70"/>
      <c r="F68" s="69"/>
    </row>
    <row r="69" spans="2:6">
      <c r="B69" s="71"/>
      <c r="C69" s="69"/>
      <c r="D69" s="69"/>
      <c r="E69" s="70"/>
      <c r="F69" s="69"/>
    </row>
    <row r="70" spans="2:6">
      <c r="B70" s="71"/>
      <c r="C70" s="69"/>
      <c r="D70" s="69"/>
      <c r="E70" s="70"/>
      <c r="F70" s="69"/>
    </row>
    <row r="71" spans="2:6">
      <c r="B71" s="71"/>
      <c r="C71" s="69"/>
      <c r="D71" s="69"/>
      <c r="E71" s="70"/>
      <c r="F71" s="69"/>
    </row>
    <row r="72" spans="2:6">
      <c r="B72" s="71"/>
      <c r="C72" s="69"/>
      <c r="D72" s="69"/>
      <c r="E72" s="70"/>
      <c r="F72" s="69"/>
    </row>
    <row r="73" spans="2:6">
      <c r="B73" s="71"/>
      <c r="C73" s="69"/>
      <c r="D73" s="69"/>
      <c r="E73" s="70"/>
      <c r="F73" s="69"/>
    </row>
    <row r="74" spans="2:6">
      <c r="B74" s="71"/>
      <c r="C74" s="69"/>
      <c r="D74" s="69"/>
      <c r="E74" s="70"/>
      <c r="F74" s="69"/>
    </row>
    <row r="75" spans="2:6">
      <c r="B75" s="71"/>
      <c r="C75" s="69"/>
      <c r="D75" s="69"/>
      <c r="E75" s="70"/>
      <c r="F75" s="69"/>
    </row>
  </sheetData>
  <phoneticPr fontId="5"/>
  <pageMargins left="0.39370078740157483" right="0.39370078740157483" top="0.39370078740157483" bottom="0.3937007874015748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現場提出用</vt:lpstr>
      <vt:lpstr>自社提出用</vt:lpstr>
      <vt:lpstr>更新履歴</vt:lpstr>
      <vt:lpstr>現場提出用!Print_Area</vt:lpstr>
      <vt:lpstr>更新履歴!Print_Area</vt:lpstr>
      <vt:lpstr>自社提出用!Print_Area</vt:lpstr>
    </vt:vector>
  </TitlesOfParts>
  <Company>株式会社アスカ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Koji_Takiguchi</dc:creator>
  <cp:lastModifiedBy>81804</cp:lastModifiedBy>
  <cp:lastPrinted>2020-01-07T01:33:34Z</cp:lastPrinted>
  <dcterms:created xsi:type="dcterms:W3CDTF">2006-03-14T23:48:43Z</dcterms:created>
  <dcterms:modified xsi:type="dcterms:W3CDTF">2020-03-30T10:07:07Z</dcterms:modified>
</cp:coreProperties>
</file>